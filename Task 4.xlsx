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TI Data Analysis\Day-3\"/>
    </mc:Choice>
  </mc:AlternateContent>
  <xr:revisionPtr revIDLastSave="0" documentId="8_{F30F4171-440D-46AD-B704-ECBF354DC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- AGG Functions" sheetId="1" r:id="rId1"/>
    <sheet name="2 - AGG with Condition" sheetId="2" r:id="rId2"/>
    <sheet name="3 - IF AND OR SWITC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c7yibNV3zWdwoLbJOe8tz9Mv+2D8AAyMBTW2IVXVVs="/>
    </ext>
  </extLst>
</workbook>
</file>

<file path=xl/calcChain.xml><?xml version="1.0" encoding="utf-8"?>
<calcChain xmlns="http://schemas.openxmlformats.org/spreadsheetml/2006/main">
  <c r="I6" i="2" l="1"/>
  <c r="I5" i="2"/>
  <c r="J4" i="2"/>
  <c r="J5" i="2"/>
  <c r="J6" i="2"/>
  <c r="L4" i="3" a="1"/>
  <c r="L4" i="3" s="1"/>
  <c r="L5" i="3" a="1"/>
  <c r="L5" i="3" s="1"/>
  <c r="L6" i="3" a="1"/>
  <c r="L6" i="3" s="1"/>
  <c r="L7" i="3" a="1"/>
  <c r="L7" i="3" s="1"/>
  <c r="L8" i="3" a="1"/>
  <c r="L8" i="3" s="1"/>
  <c r="L9" i="3" a="1"/>
  <c r="L9" i="3" s="1"/>
  <c r="L10" i="3" a="1"/>
  <c r="L10" i="3"/>
  <c r="L11" i="3" a="1"/>
  <c r="L11" i="3"/>
  <c r="L12" i="3" a="1"/>
  <c r="L12" i="3"/>
  <c r="L13" i="3" a="1"/>
  <c r="L13" i="3"/>
  <c r="J5" i="3"/>
  <c r="J6" i="3"/>
  <c r="J7" i="3"/>
  <c r="J8" i="3"/>
  <c r="J9" i="3"/>
  <c r="J10" i="3"/>
  <c r="J11" i="3"/>
  <c r="J12" i="3"/>
  <c r="J13" i="3"/>
  <c r="J4" i="3"/>
  <c r="I4" i="3"/>
  <c r="I5" i="3"/>
  <c r="I6" i="3"/>
  <c r="I7" i="3"/>
  <c r="I8" i="3"/>
  <c r="I9" i="3"/>
  <c r="I10" i="3"/>
  <c r="I11" i="3"/>
  <c r="I12" i="3"/>
  <c r="I13" i="3"/>
  <c r="H4" i="3"/>
  <c r="H5" i="3"/>
  <c r="H6" i="3"/>
  <c r="H7" i="3"/>
  <c r="H8" i="3"/>
  <c r="H9" i="3"/>
  <c r="H10" i="3"/>
  <c r="H11" i="3"/>
  <c r="H12" i="3"/>
  <c r="H13" i="3"/>
  <c r="I4" i="2"/>
  <c r="I5" i="1"/>
  <c r="I6" i="1"/>
  <c r="I7" i="1"/>
  <c r="I8" i="1"/>
  <c r="I9" i="1"/>
  <c r="I10" i="1"/>
  <c r="I11" i="1"/>
  <c r="I12" i="1"/>
  <c r="I13" i="1"/>
  <c r="I4" i="1"/>
  <c r="H6" i="2"/>
  <c r="H5" i="2"/>
  <c r="H4" i="2"/>
  <c r="G4" i="1"/>
  <c r="G5" i="1"/>
  <c r="H5" i="1"/>
  <c r="H6" i="1"/>
  <c r="H7" i="1"/>
  <c r="H8" i="1"/>
  <c r="H9" i="1"/>
  <c r="H10" i="1"/>
  <c r="H11" i="1"/>
  <c r="H12" i="1"/>
  <c r="H13" i="1"/>
  <c r="H4" i="1"/>
  <c r="G6" i="1"/>
  <c r="G7" i="1"/>
  <c r="G8" i="1"/>
  <c r="G9" i="1"/>
  <c r="G10" i="1"/>
  <c r="G11" i="1"/>
  <c r="G12" i="1"/>
  <c r="G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<sst xmlns="http://schemas.openxmlformats.org/spreadsheetml/2006/main" count="108" uniqueCount="41">
  <si>
    <t>Aggregation Functions   —   SUM / AVERAGE / MIN / MAX / COUNT / COUNTA</t>
  </si>
  <si>
    <t xml:space="preserve">🔵 الخلايا الزرقاء = داتا جاهزة (متغيرهاش)          🟡 الخلايا الصفراء = اكتب هنا الفورمولا بتاعتك          </t>
  </si>
  <si>
    <t>Employee</t>
  </si>
  <si>
    <t>Dept</t>
  </si>
  <si>
    <t>Jan Sales</t>
  </si>
  <si>
    <t>Feb Sales</t>
  </si>
  <si>
    <t>Mar Sales</t>
  </si>
  <si>
    <t>Ahmed Ali</t>
  </si>
  <si>
    <t>Sales</t>
  </si>
  <si>
    <t>Sara Mohamed</t>
  </si>
  <si>
    <t>HR</t>
  </si>
  <si>
    <t>Omar Hassan</t>
  </si>
  <si>
    <t>Nour Khaled</t>
  </si>
  <si>
    <t>IT</t>
  </si>
  <si>
    <t>Reem Samy</t>
  </si>
  <si>
    <t>Karim Adel</t>
  </si>
  <si>
    <t>Dina Youssef</t>
  </si>
  <si>
    <t>Tamer Nabil</t>
  </si>
  <si>
    <t>Hana Mostafa</t>
  </si>
  <si>
    <t>Youssef Said</t>
  </si>
  <si>
    <t>Aggregation with Condition   —   SUMIF / AVERAGEIF / COUNTIF</t>
  </si>
  <si>
    <t xml:space="preserve">🔵 الخلايا الزرقاء = داتا جاهزة (متغيرهاش)          🟡 الخلايا الصفراء = اكتب هنا الفورمولا بتاعتك           </t>
  </si>
  <si>
    <t>Department</t>
  </si>
  <si>
    <t>Task 1
SUMIF
(Jan Sales)</t>
  </si>
  <si>
    <t>Task 2
AVERAGEIF
(Feb Sales)</t>
  </si>
  <si>
    <t>Task 3
COUNTIF
(count employees)</t>
  </si>
  <si>
    <t>IF with AND / OR   +   SWITCH</t>
  </si>
  <si>
    <t>Target</t>
  </si>
  <si>
    <t>Attendance</t>
  </si>
  <si>
    <t>Score (1-5)</t>
  </si>
  <si>
    <t>Task 1
IF + AND
(Met target AND attended?)</t>
  </si>
  <si>
    <t>Task 2
IF + OR
(Bonus eligible?)</t>
  </si>
  <si>
    <t>Task 3
Nested IF
(Performance level)</t>
  </si>
  <si>
    <t>Task 4
SWITCH
(Score label)</t>
  </si>
  <si>
    <t>Yes</t>
  </si>
  <si>
    <t>No</t>
  </si>
  <si>
    <t xml:space="preserve">
</t>
  </si>
  <si>
    <t xml:space="preserve">Task 1
SUM
</t>
  </si>
  <si>
    <t xml:space="preserve">Task 2
AVERAGE
</t>
  </si>
  <si>
    <t xml:space="preserve">Task 3
MIN &amp; MAX
</t>
  </si>
  <si>
    <t>📌  Task 1 – Column H  (IF + AND)
   لو الموظف وصل الـ Target وحضر → Achieved
📌  Task 2 – Column I  (IF + OR)
   لو وصل الـ Target أو Score بتاعه 4 أو أكتر → Bonus
📌  Task 3 – Column J  (Nested IF)
   لو تجاوز الـ Target بـ20% → Excellent
   لو وصل الـ Target بالظبط → Good
   لو ماوصلوش → Needs Improvement
📌  Task 4 – Column L  (SWITCH)
   بترجمة الـ Score الرقمي لوصف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</si>
</sst>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scheme val="minor"/>
    </font>
    <font>
      <b/>
      <sz val="13"/>
      <color rgb="FFFFFFFF"/>
      <name val="Calibri"/>
    </font>
    <font>
      <sz val="11"/>
      <name val="Calibri"/>
    </font>
    <font>
      <sz val="10"/>
      <color rgb="FF1F3864"/>
      <name val="Calibri"/>
    </font>
    <font>
      <b/>
      <sz val="10"/>
      <color rgb="FFFFFFFF"/>
      <name val="Calibri"/>
    </font>
    <font>
      <sz val="11"/>
      <color theme="1"/>
      <name val="Calibri"/>
    </font>
    <font>
      <b/>
      <sz val="10"/>
      <color rgb="FF7B3F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9"/>
      <color rgb="FFBF8F00"/>
      <name val="Calibri"/>
    </font>
    <font>
      <sz val="10"/>
      <color rgb="FF1F4E1A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4B942"/>
        <bgColor rgb="FFF4B942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</fills>
  <borders count="19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E5A000"/>
      </left>
      <right style="medium">
        <color rgb="FFE5A000"/>
      </right>
      <top style="medium">
        <color rgb="FFE5A000"/>
      </top>
      <bottom style="medium">
        <color rgb="FFE5A000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/>
      <top style="medium">
        <color rgb="FF70AD47"/>
      </top>
      <bottom/>
      <diagonal/>
    </border>
    <border>
      <left/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/>
      <top/>
      <bottom/>
      <diagonal/>
    </border>
    <border>
      <left/>
      <right style="medium">
        <color rgb="FF70AD47"/>
      </right>
      <top/>
      <bottom/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/>
      <right/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4" borderId="7" xfId="0" applyFont="1" applyFill="1" applyBorder="1" applyAlignment="1">
      <alignment horizontal="center" vertical="center" wrapText="1"/>
    </xf>
    <xf numFmtId="0" fontId="5" fillId="5" borderId="8" xfId="0" applyFont="1" applyFill="1" applyBorder="1"/>
    <xf numFmtId="0" fontId="6" fillId="6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8" fillId="7" borderId="9" xfId="0" applyFont="1" applyFill="1" applyBorder="1" applyAlignment="1">
      <alignment horizontal="center" vertical="center" wrapText="1"/>
    </xf>
    <xf numFmtId="3" fontId="8" fillId="7" borderId="9" xfId="0" applyNumberFormat="1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center" vertical="center" wrapText="1"/>
    </xf>
    <xf numFmtId="3" fontId="8" fillId="9" borderId="9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3" fontId="9" fillId="8" borderId="10" xfId="0" applyNumberFormat="1" applyFont="1" applyFill="1" applyBorder="1" applyAlignment="1">
      <alignment horizontal="center" vertical="center" wrapText="1"/>
    </xf>
    <xf numFmtId="164" fontId="9" fillId="8" borderId="10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0" fillId="10" borderId="11" xfId="0" applyFont="1" applyFill="1" applyBorder="1" applyAlignment="1">
      <alignment horizontal="left" vertical="top"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0" xfId="0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tabSelected="1" zoomScale="115" zoomScaleNormal="115" workbookViewId="0">
      <selection activeCell="B7" sqref="B7"/>
    </sheetView>
  </sheetViews>
  <sheetFormatPr defaultColWidth="14.44140625" defaultRowHeight="15" customHeight="1" x14ac:dyDescent="0.3"/>
  <cols>
    <col min="1" max="1" width="18" customWidth="1"/>
    <col min="2" max="2" width="10" customWidth="1"/>
    <col min="3" max="5" width="12" customWidth="1"/>
    <col min="6" max="6" width="2" customWidth="1"/>
    <col min="7" max="8" width="16" customWidth="1"/>
    <col min="9" max="9" width="18" customWidth="1"/>
    <col min="10" max="26" width="8.6640625" customWidth="1"/>
  </cols>
  <sheetData>
    <row r="1" spans="1:9" ht="30" customHeight="1" thickBo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8"/>
    </row>
    <row r="2" spans="1:9" ht="18" customHeight="1" thickBot="1" x14ac:dyDescent="0.35">
      <c r="A2" s="19" t="s">
        <v>1</v>
      </c>
      <c r="B2" s="20"/>
      <c r="C2" s="20"/>
      <c r="D2" s="20"/>
      <c r="E2" s="20"/>
      <c r="F2" s="20"/>
      <c r="G2" s="20"/>
      <c r="H2" s="20"/>
      <c r="I2" s="21"/>
    </row>
    <row r="3" spans="1:9" ht="54" customHeight="1" thickBo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/>
      <c r="G3" s="3" t="s">
        <v>37</v>
      </c>
      <c r="H3" s="3" t="s">
        <v>38</v>
      </c>
      <c r="I3" s="3" t="s">
        <v>39</v>
      </c>
    </row>
    <row r="4" spans="1:9" ht="18" customHeight="1" thickBot="1" x14ac:dyDescent="0.35">
      <c r="A4" s="4" t="s">
        <v>7</v>
      </c>
      <c r="B4" s="5" t="s">
        <v>8</v>
      </c>
      <c r="C4" s="6">
        <v>12500</v>
      </c>
      <c r="D4" s="6">
        <v>15000</v>
      </c>
      <c r="E4" s="6">
        <v>11000</v>
      </c>
      <c r="F4" s="2"/>
      <c r="G4" s="14">
        <f>SUM(C4:E4)</f>
        <v>38500</v>
      </c>
      <c r="H4" s="14">
        <f>AVERAGE(C4:E4)</f>
        <v>12833.333333333334</v>
      </c>
      <c r="I4" s="14" t="str">
        <f>MIN(C4:E4)&amp;" - "&amp;MAX(C4:E4)</f>
        <v>11000 - 15000</v>
      </c>
    </row>
    <row r="5" spans="1:9" ht="18" customHeight="1" thickBot="1" x14ac:dyDescent="0.35">
      <c r="A5" s="8" t="s">
        <v>9</v>
      </c>
      <c r="B5" s="9" t="s">
        <v>10</v>
      </c>
      <c r="C5" s="10">
        <v>8000</v>
      </c>
      <c r="D5" s="10">
        <v>9500</v>
      </c>
      <c r="E5" s="10">
        <v>8800</v>
      </c>
      <c r="F5" s="2"/>
      <c r="G5" s="14">
        <f>SUM(C5:E5)</f>
        <v>26300</v>
      </c>
      <c r="H5" s="14">
        <f t="shared" ref="H5:H13" si="0">AVERAGE(C5:E5)</f>
        <v>8766.6666666666661</v>
      </c>
      <c r="I5" s="14" t="str">
        <f t="shared" ref="I5:I13" si="1">MIN(C5:E5)&amp;" - "&amp;MAX(C5:E5)</f>
        <v>8000 - 9500</v>
      </c>
    </row>
    <row r="6" spans="1:9" ht="18" customHeight="1" thickBot="1" x14ac:dyDescent="0.35">
      <c r="A6" s="4" t="s">
        <v>11</v>
      </c>
      <c r="B6" s="5" t="s">
        <v>8</v>
      </c>
      <c r="C6" s="6">
        <v>18000</v>
      </c>
      <c r="D6" s="6">
        <v>21000</v>
      </c>
      <c r="E6" s="6">
        <v>17500</v>
      </c>
      <c r="F6" s="2"/>
      <c r="G6" s="14">
        <f t="shared" ref="G6:G13" si="2">SUM(C6:E6)</f>
        <v>56500</v>
      </c>
      <c r="H6" s="14">
        <f t="shared" si="0"/>
        <v>18833.333333333332</v>
      </c>
      <c r="I6" s="14" t="str">
        <f t="shared" si="1"/>
        <v>17500 - 21000</v>
      </c>
    </row>
    <row r="7" spans="1:9" ht="18" customHeight="1" thickBot="1" x14ac:dyDescent="0.35">
      <c r="A7" s="8" t="s">
        <v>12</v>
      </c>
      <c r="B7" s="9" t="s">
        <v>13</v>
      </c>
      <c r="C7" s="10">
        <v>11000</v>
      </c>
      <c r="D7" s="10">
        <v>10500</v>
      </c>
      <c r="E7" s="10">
        <v>12000</v>
      </c>
      <c r="F7" s="2"/>
      <c r="G7" s="14">
        <f t="shared" si="2"/>
        <v>33500</v>
      </c>
      <c r="H7" s="14">
        <f t="shared" si="0"/>
        <v>11166.666666666666</v>
      </c>
      <c r="I7" s="14" t="str">
        <f t="shared" si="1"/>
        <v>10500 - 12000</v>
      </c>
    </row>
    <row r="8" spans="1:9" ht="18" customHeight="1" thickBot="1" x14ac:dyDescent="0.35">
      <c r="A8" s="4" t="s">
        <v>14</v>
      </c>
      <c r="B8" s="5" t="s">
        <v>8</v>
      </c>
      <c r="C8" s="6">
        <v>22000</v>
      </c>
      <c r="D8" s="6">
        <v>19000</v>
      </c>
      <c r="E8" s="6">
        <v>24000</v>
      </c>
      <c r="F8" s="2"/>
      <c r="G8" s="14">
        <f t="shared" si="2"/>
        <v>65000</v>
      </c>
      <c r="H8" s="14">
        <f t="shared" si="0"/>
        <v>21666.666666666668</v>
      </c>
      <c r="I8" s="14" t="str">
        <f t="shared" si="1"/>
        <v>19000 - 24000</v>
      </c>
    </row>
    <row r="9" spans="1:9" ht="18" customHeight="1" thickBot="1" x14ac:dyDescent="0.35">
      <c r="A9" s="8" t="s">
        <v>15</v>
      </c>
      <c r="B9" s="9" t="s">
        <v>10</v>
      </c>
      <c r="C9" s="10">
        <v>7500</v>
      </c>
      <c r="D9" s="10">
        <v>8000</v>
      </c>
      <c r="E9" s="10">
        <v>7200</v>
      </c>
      <c r="F9" s="2"/>
      <c r="G9" s="14">
        <f t="shared" si="2"/>
        <v>22700</v>
      </c>
      <c r="H9" s="14">
        <f t="shared" si="0"/>
        <v>7566.666666666667</v>
      </c>
      <c r="I9" s="14" t="str">
        <f t="shared" si="1"/>
        <v>7200 - 8000</v>
      </c>
    </row>
    <row r="10" spans="1:9" ht="18" customHeight="1" thickBot="1" x14ac:dyDescent="0.35">
      <c r="A10" s="4" t="s">
        <v>16</v>
      </c>
      <c r="B10" s="5" t="s">
        <v>13</v>
      </c>
      <c r="C10" s="6">
        <v>14000</v>
      </c>
      <c r="D10" s="6">
        <v>13500</v>
      </c>
      <c r="E10" s="6">
        <v>15000</v>
      </c>
      <c r="F10" s="2"/>
      <c r="G10" s="14">
        <f t="shared" si="2"/>
        <v>42500</v>
      </c>
      <c r="H10" s="14">
        <f t="shared" si="0"/>
        <v>14166.666666666666</v>
      </c>
      <c r="I10" s="14" t="str">
        <f t="shared" si="1"/>
        <v>13500 - 15000</v>
      </c>
    </row>
    <row r="11" spans="1:9" ht="18" customHeight="1" thickBot="1" x14ac:dyDescent="0.35">
      <c r="A11" s="8" t="s">
        <v>17</v>
      </c>
      <c r="B11" s="9" t="s">
        <v>8</v>
      </c>
      <c r="C11" s="10">
        <v>9000</v>
      </c>
      <c r="D11" s="10">
        <v>11000</v>
      </c>
      <c r="E11" s="10">
        <v>8500</v>
      </c>
      <c r="F11" s="2"/>
      <c r="G11" s="14">
        <f t="shared" si="2"/>
        <v>28500</v>
      </c>
      <c r="H11" s="14">
        <f t="shared" si="0"/>
        <v>9500</v>
      </c>
      <c r="I11" s="14" t="str">
        <f t="shared" si="1"/>
        <v>8500 - 11000</v>
      </c>
    </row>
    <row r="12" spans="1:9" ht="18" customHeight="1" thickBot="1" x14ac:dyDescent="0.35">
      <c r="A12" s="4" t="s">
        <v>18</v>
      </c>
      <c r="B12" s="5" t="s">
        <v>10</v>
      </c>
      <c r="C12" s="6">
        <v>10500</v>
      </c>
      <c r="D12" s="6">
        <v>10000</v>
      </c>
      <c r="E12" s="6">
        <v>11500</v>
      </c>
      <c r="F12" s="2"/>
      <c r="G12" s="14">
        <f t="shared" si="2"/>
        <v>32000</v>
      </c>
      <c r="H12" s="14">
        <f t="shared" si="0"/>
        <v>10666.666666666666</v>
      </c>
      <c r="I12" s="14" t="str">
        <f t="shared" si="1"/>
        <v>10000 - 11500</v>
      </c>
    </row>
    <row r="13" spans="1:9" ht="18" customHeight="1" thickBot="1" x14ac:dyDescent="0.35">
      <c r="A13" s="8" t="s">
        <v>19</v>
      </c>
      <c r="B13" s="9" t="s">
        <v>13</v>
      </c>
      <c r="C13" s="10">
        <v>16000</v>
      </c>
      <c r="D13" s="10">
        <v>17000</v>
      </c>
      <c r="E13" s="10">
        <v>15500</v>
      </c>
      <c r="F13" s="2"/>
      <c r="G13" s="14">
        <f t="shared" si="2"/>
        <v>48500</v>
      </c>
      <c r="H13" s="14">
        <f t="shared" si="0"/>
        <v>16166.666666666666</v>
      </c>
      <c r="I13" s="14" t="str">
        <f t="shared" si="1"/>
        <v>15500 - 17000</v>
      </c>
    </row>
    <row r="14" spans="1:9" ht="14.25" customHeight="1" thickBot="1" x14ac:dyDescent="0.35">
      <c r="F14" s="2"/>
    </row>
    <row r="15" spans="1:9" ht="120" customHeight="1" x14ac:dyDescent="0.3">
      <c r="A15" s="22" t="s">
        <v>36</v>
      </c>
      <c r="B15" s="23"/>
      <c r="C15" s="23"/>
      <c r="D15" s="23"/>
      <c r="E15" s="23"/>
      <c r="F15" s="23"/>
      <c r="G15" s="23"/>
      <c r="H15" s="23"/>
      <c r="I15" s="24"/>
    </row>
    <row r="16" spans="1:9" ht="7.5" customHeight="1" x14ac:dyDescent="0.3">
      <c r="A16" s="25"/>
      <c r="B16" s="26"/>
      <c r="C16" s="26"/>
      <c r="D16" s="26"/>
      <c r="E16" s="26"/>
      <c r="F16" s="26"/>
      <c r="G16" s="26"/>
      <c r="H16" s="26"/>
      <c r="I16" s="27"/>
    </row>
    <row r="17" spans="1:9" ht="14.25" customHeight="1" x14ac:dyDescent="0.3">
      <c r="A17" s="25"/>
      <c r="B17" s="26"/>
      <c r="C17" s="26"/>
      <c r="D17" s="26"/>
      <c r="E17" s="26"/>
      <c r="F17" s="26"/>
      <c r="G17" s="26"/>
      <c r="H17" s="26"/>
      <c r="I17" s="27"/>
    </row>
    <row r="18" spans="1:9" ht="14.25" customHeight="1" x14ac:dyDescent="0.3">
      <c r="A18" s="25"/>
      <c r="B18" s="26"/>
      <c r="C18" s="26"/>
      <c r="D18" s="26"/>
      <c r="E18" s="26"/>
      <c r="F18" s="26"/>
      <c r="G18" s="26"/>
      <c r="H18" s="26"/>
      <c r="I18" s="27"/>
    </row>
    <row r="19" spans="1:9" ht="14.25" customHeight="1" x14ac:dyDescent="0.3">
      <c r="A19" s="25"/>
      <c r="B19" s="26"/>
      <c r="C19" s="26"/>
      <c r="D19" s="26"/>
      <c r="E19" s="26"/>
      <c r="F19" s="26"/>
      <c r="G19" s="26"/>
      <c r="H19" s="26"/>
      <c r="I19" s="27"/>
    </row>
    <row r="20" spans="1:9" ht="14.25" customHeight="1" x14ac:dyDescent="0.3">
      <c r="A20" s="25"/>
      <c r="B20" s="26"/>
      <c r="C20" s="26"/>
      <c r="D20" s="26"/>
      <c r="E20" s="26"/>
      <c r="F20" s="26"/>
      <c r="G20" s="26"/>
      <c r="H20" s="26"/>
      <c r="I20" s="27"/>
    </row>
    <row r="21" spans="1:9" ht="14.25" customHeight="1" x14ac:dyDescent="0.3">
      <c r="A21" s="25"/>
      <c r="B21" s="26"/>
      <c r="C21" s="26"/>
      <c r="D21" s="26"/>
      <c r="E21" s="26"/>
      <c r="F21" s="26"/>
      <c r="G21" s="26"/>
      <c r="H21" s="26"/>
      <c r="I21" s="27"/>
    </row>
    <row r="22" spans="1:9" ht="60.75" customHeight="1" thickBot="1" x14ac:dyDescent="0.35">
      <c r="A22" s="28"/>
      <c r="B22" s="29"/>
      <c r="C22" s="29"/>
      <c r="D22" s="29"/>
      <c r="E22" s="29"/>
      <c r="F22" s="29"/>
      <c r="G22" s="29"/>
      <c r="H22" s="29"/>
      <c r="I22" s="30"/>
    </row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I1"/>
    <mergeCell ref="A2:I2"/>
    <mergeCell ref="A15:I2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showGridLines="0" topLeftCell="A2" workbookViewId="0">
      <selection activeCell="I7" sqref="I7"/>
    </sheetView>
  </sheetViews>
  <sheetFormatPr defaultColWidth="14.44140625" defaultRowHeight="15" customHeight="1" x14ac:dyDescent="0.3"/>
  <cols>
    <col min="1" max="1" width="18" customWidth="1"/>
    <col min="2" max="2" width="13" customWidth="1"/>
    <col min="3" max="5" width="12" customWidth="1"/>
    <col min="6" max="6" width="2" customWidth="1"/>
    <col min="7" max="7" width="13" customWidth="1"/>
    <col min="8" max="10" width="18" customWidth="1"/>
    <col min="11" max="26" width="8.6640625" customWidth="1"/>
  </cols>
  <sheetData>
    <row r="1" spans="1:12" ht="30" customHeight="1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18" customHeight="1" x14ac:dyDescent="0.3">
      <c r="A2" s="19" t="s">
        <v>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54" customHeight="1" x14ac:dyDescent="0.3">
      <c r="A3" s="1" t="s">
        <v>2</v>
      </c>
      <c r="B3" s="1" t="s">
        <v>22</v>
      </c>
      <c r="C3" s="1" t="s">
        <v>4</v>
      </c>
      <c r="D3" s="1" t="s">
        <v>5</v>
      </c>
      <c r="E3" s="1" t="s">
        <v>6</v>
      </c>
      <c r="F3" s="2"/>
      <c r="G3" s="11" t="s">
        <v>22</v>
      </c>
      <c r="H3" s="11" t="s">
        <v>23</v>
      </c>
      <c r="I3" s="11" t="s">
        <v>24</v>
      </c>
      <c r="J3" s="11" t="s">
        <v>25</v>
      </c>
    </row>
    <row r="4" spans="1:12" ht="19.5" customHeight="1" thickBot="1" x14ac:dyDescent="0.35">
      <c r="A4" s="4" t="s">
        <v>7</v>
      </c>
      <c r="B4" s="5" t="s">
        <v>8</v>
      </c>
      <c r="C4" s="6">
        <v>12500</v>
      </c>
      <c r="D4" s="6">
        <v>15000</v>
      </c>
      <c r="E4" s="6">
        <v>11000</v>
      </c>
      <c r="F4" s="2"/>
      <c r="G4" s="12" t="s">
        <v>8</v>
      </c>
      <c r="H4" s="7">
        <f>SUMIF(B4:B13,B4,C4:C13)</f>
        <v>61500</v>
      </c>
      <c r="I4" s="7">
        <f>AVERAGEIF(B4:B13,B4,D4:D13)</f>
        <v>16500</v>
      </c>
      <c r="J4" s="7">
        <f>COUNTIF(B4:B13,B4)</f>
        <v>4</v>
      </c>
    </row>
    <row r="5" spans="1:12" ht="19.5" customHeight="1" thickBot="1" x14ac:dyDescent="0.35">
      <c r="A5" s="8" t="s">
        <v>9</v>
      </c>
      <c r="B5" s="9" t="s">
        <v>10</v>
      </c>
      <c r="C5" s="10">
        <v>8000</v>
      </c>
      <c r="D5" s="10">
        <v>9500</v>
      </c>
      <c r="E5" s="10">
        <v>8800</v>
      </c>
      <c r="F5" s="2"/>
      <c r="G5" s="13" t="s">
        <v>10</v>
      </c>
      <c r="H5" s="7">
        <f>SUMIF(B4:B13,B5,C4:C13)</f>
        <v>26000</v>
      </c>
      <c r="I5" s="15">
        <f>AVERAGEIF(B4:B13,B5,D4:D13)</f>
        <v>9166.6666666666661</v>
      </c>
      <c r="J5" s="7">
        <f>COUNTIF(B4:B13,B5)</f>
        <v>3</v>
      </c>
    </row>
    <row r="6" spans="1:12" ht="19.5" customHeight="1" thickBot="1" x14ac:dyDescent="0.35">
      <c r="A6" s="4" t="s">
        <v>11</v>
      </c>
      <c r="B6" s="5" t="s">
        <v>8</v>
      </c>
      <c r="C6" s="6">
        <v>18000</v>
      </c>
      <c r="D6" s="6">
        <v>21000</v>
      </c>
      <c r="E6" s="6">
        <v>17500</v>
      </c>
      <c r="F6" s="2"/>
      <c r="G6" s="12" t="s">
        <v>13</v>
      </c>
      <c r="H6" s="7">
        <f>SUMIF(B4:B13,B7,C4:C13)</f>
        <v>41000</v>
      </c>
      <c r="I6" s="15">
        <f>AVERAGEIF(B4:B13,B7,D4:D13)</f>
        <v>13666.666666666666</v>
      </c>
      <c r="J6" s="7">
        <f>COUNTIF(B4:B13,B7)</f>
        <v>3</v>
      </c>
    </row>
    <row r="7" spans="1:12" ht="18" customHeight="1" x14ac:dyDescent="0.3">
      <c r="A7" s="8" t="s">
        <v>12</v>
      </c>
      <c r="B7" s="9" t="s">
        <v>13</v>
      </c>
      <c r="C7" s="10">
        <v>11000</v>
      </c>
      <c r="D7" s="10">
        <v>10500</v>
      </c>
      <c r="E7" s="10">
        <v>12000</v>
      </c>
      <c r="F7" s="2"/>
    </row>
    <row r="8" spans="1:12" ht="135" customHeight="1" x14ac:dyDescent="0.3">
      <c r="A8" s="4" t="s">
        <v>14</v>
      </c>
      <c r="B8" s="5" t="s">
        <v>8</v>
      </c>
      <c r="C8" s="6">
        <v>22000</v>
      </c>
      <c r="D8" s="6">
        <v>19000</v>
      </c>
      <c r="E8" s="6">
        <v>24000</v>
      </c>
      <c r="F8" s="2"/>
    </row>
    <row r="9" spans="1:12" ht="18" customHeight="1" x14ac:dyDescent="0.3">
      <c r="A9" s="8" t="s">
        <v>15</v>
      </c>
      <c r="B9" s="9" t="s">
        <v>10</v>
      </c>
      <c r="C9" s="10">
        <v>7500</v>
      </c>
      <c r="D9" s="10">
        <v>8000</v>
      </c>
      <c r="E9" s="10">
        <v>7200</v>
      </c>
      <c r="F9" s="2"/>
    </row>
    <row r="10" spans="1:12" ht="18" customHeight="1" x14ac:dyDescent="0.3">
      <c r="A10" s="4" t="s">
        <v>16</v>
      </c>
      <c r="B10" s="5" t="s">
        <v>13</v>
      </c>
      <c r="C10" s="6">
        <v>14000</v>
      </c>
      <c r="D10" s="6">
        <v>13500</v>
      </c>
      <c r="E10" s="6">
        <v>15000</v>
      </c>
      <c r="F10" s="2"/>
    </row>
    <row r="11" spans="1:12" ht="18" customHeight="1" x14ac:dyDescent="0.3">
      <c r="A11" s="8" t="s">
        <v>17</v>
      </c>
      <c r="B11" s="9" t="s">
        <v>8</v>
      </c>
      <c r="C11" s="10">
        <v>9000</v>
      </c>
      <c r="D11" s="10">
        <v>11000</v>
      </c>
      <c r="E11" s="10">
        <v>8500</v>
      </c>
      <c r="F11" s="2"/>
    </row>
    <row r="12" spans="1:12" ht="18" customHeight="1" x14ac:dyDescent="0.3">
      <c r="A12" s="4" t="s">
        <v>18</v>
      </c>
      <c r="B12" s="5" t="s">
        <v>10</v>
      </c>
      <c r="C12" s="6">
        <v>10500</v>
      </c>
      <c r="D12" s="6">
        <v>10000</v>
      </c>
      <c r="E12" s="6">
        <v>11500</v>
      </c>
      <c r="F12" s="2"/>
    </row>
    <row r="13" spans="1:12" ht="18" customHeight="1" x14ac:dyDescent="0.3">
      <c r="A13" s="8" t="s">
        <v>19</v>
      </c>
      <c r="B13" s="9" t="s">
        <v>13</v>
      </c>
      <c r="C13" s="10">
        <v>16000</v>
      </c>
      <c r="D13" s="10">
        <v>17000</v>
      </c>
      <c r="E13" s="10">
        <v>15500</v>
      </c>
      <c r="F13" s="2"/>
    </row>
    <row r="14" spans="1:12" ht="14.25" customHeight="1" x14ac:dyDescent="0.3">
      <c r="F14" s="2"/>
    </row>
    <row r="15" spans="1:12" ht="14.25" customHeight="1" x14ac:dyDescent="0.3">
      <c r="F15" s="2"/>
    </row>
    <row r="16" spans="1:12" ht="14.25" customHeight="1" x14ac:dyDescent="0.3">
      <c r="F16" s="2"/>
    </row>
    <row r="17" spans="6:6" ht="14.25" customHeight="1" x14ac:dyDescent="0.3">
      <c r="F17" s="2"/>
    </row>
    <row r="18" spans="6:6" ht="14.25" customHeight="1" x14ac:dyDescent="0.3">
      <c r="F18" s="2"/>
    </row>
    <row r="19" spans="6:6" ht="14.25" customHeight="1" x14ac:dyDescent="0.3">
      <c r="F19" s="2"/>
    </row>
    <row r="20" spans="6:6" ht="14.25" customHeight="1" x14ac:dyDescent="0.3">
      <c r="F20" s="2"/>
    </row>
    <row r="21" spans="6:6" ht="14.25" customHeight="1" x14ac:dyDescent="0.3">
      <c r="F21" s="2"/>
    </row>
    <row r="22" spans="6:6" ht="14.25" customHeight="1" x14ac:dyDescent="0.3"/>
    <row r="23" spans="6:6" ht="14.25" customHeight="1" x14ac:dyDescent="0.3"/>
    <row r="24" spans="6:6" ht="14.25" customHeight="1" x14ac:dyDescent="0.3"/>
    <row r="25" spans="6:6" ht="14.25" customHeight="1" x14ac:dyDescent="0.3"/>
    <row r="26" spans="6:6" ht="14.25" customHeight="1" x14ac:dyDescent="0.3"/>
    <row r="27" spans="6:6" ht="14.25" customHeight="1" x14ac:dyDescent="0.3"/>
    <row r="28" spans="6:6" ht="14.25" customHeight="1" x14ac:dyDescent="0.3"/>
    <row r="29" spans="6:6" ht="14.25" customHeight="1" x14ac:dyDescent="0.3"/>
    <row r="30" spans="6:6" ht="14.25" customHeight="1" x14ac:dyDescent="0.3"/>
    <row r="31" spans="6:6" ht="14.25" customHeight="1" x14ac:dyDescent="0.3"/>
    <row r="32" spans="6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L1"/>
    <mergeCell ref="A2:L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showGridLines="0" zoomScale="85" zoomScaleNormal="85" workbookViewId="0">
      <selection activeCell="M30" sqref="M30"/>
    </sheetView>
  </sheetViews>
  <sheetFormatPr defaultColWidth="14.44140625" defaultRowHeight="15" customHeight="1" x14ac:dyDescent="0.3"/>
  <cols>
    <col min="1" max="1" width="18" customWidth="1"/>
    <col min="2" max="2" width="10" customWidth="1"/>
    <col min="3" max="5" width="12" customWidth="1"/>
    <col min="6" max="6" width="10" customWidth="1"/>
    <col min="7" max="7" width="2" customWidth="1"/>
    <col min="8" max="9" width="20" customWidth="1"/>
    <col min="10" max="10" width="22" customWidth="1"/>
    <col min="11" max="11" width="2" customWidth="1"/>
    <col min="12" max="12" width="18" customWidth="1"/>
    <col min="13" max="26" width="8.6640625" customWidth="1"/>
  </cols>
  <sheetData>
    <row r="1" spans="1:13" ht="30" customHeight="1" x14ac:dyDescent="0.3">
      <c r="A1" s="16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8" customHeight="1" x14ac:dyDescent="0.3">
      <c r="A2" s="19" t="s">
        <v>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1:13" ht="57" customHeight="1" thickBot="1" x14ac:dyDescent="0.35">
      <c r="A3" s="1" t="s">
        <v>2</v>
      </c>
      <c r="B3" s="1" t="s">
        <v>3</v>
      </c>
      <c r="C3" s="1" t="s">
        <v>4</v>
      </c>
      <c r="D3" s="1" t="s">
        <v>27</v>
      </c>
      <c r="E3" s="1" t="s">
        <v>28</v>
      </c>
      <c r="F3" s="1" t="s">
        <v>29</v>
      </c>
      <c r="G3" s="2"/>
      <c r="H3" s="3" t="s">
        <v>30</v>
      </c>
      <c r="I3" s="3" t="s">
        <v>31</v>
      </c>
      <c r="J3" s="3" t="s">
        <v>32</v>
      </c>
      <c r="K3" s="2"/>
      <c r="L3" s="3" t="s">
        <v>33</v>
      </c>
    </row>
    <row r="4" spans="1:13" ht="18" customHeight="1" thickBot="1" x14ac:dyDescent="0.35">
      <c r="A4" s="4" t="s">
        <v>7</v>
      </c>
      <c r="B4" s="5" t="s">
        <v>8</v>
      </c>
      <c r="C4" s="6">
        <v>12500</v>
      </c>
      <c r="D4" s="6">
        <v>14000</v>
      </c>
      <c r="E4" s="5" t="s">
        <v>34</v>
      </c>
      <c r="F4" s="5">
        <v>4</v>
      </c>
      <c r="G4" s="2"/>
      <c r="H4" s="7" t="str">
        <f>IF( AND(C4&gt;=D4,E4="Yes"),"Achieves","failed")</f>
        <v>failed</v>
      </c>
      <c r="I4" s="7" t="str">
        <f>IF( OR(C4&gt;=D4,F4&gt;=4),"Bonus","No Bonus")</f>
        <v>Bonus</v>
      </c>
      <c r="J4" s="7" t="str">
        <f>IF(C4&gt;D4*1.2,"Excellent",IF(C4&gt;=D4,"Good","Needs Improvemen"))</f>
        <v>Needs Improvemen</v>
      </c>
      <c r="K4" s="2"/>
      <c r="L4" s="7" t="str" cm="1">
        <f t="array" ref="L4">_xlfn.SWITCH(TRUE,F4&gt;=4,"A",F4&gt;=2,"B","C")</f>
        <v>A</v>
      </c>
    </row>
    <row r="5" spans="1:13" ht="18" customHeight="1" thickBot="1" x14ac:dyDescent="0.35">
      <c r="A5" s="8" t="s">
        <v>9</v>
      </c>
      <c r="B5" s="9" t="s">
        <v>10</v>
      </c>
      <c r="C5" s="10">
        <v>8000</v>
      </c>
      <c r="D5" s="10">
        <v>8500</v>
      </c>
      <c r="E5" s="9" t="s">
        <v>34</v>
      </c>
      <c r="F5" s="9">
        <v>2</v>
      </c>
      <c r="G5" s="2"/>
      <c r="H5" s="7" t="str">
        <f t="shared" ref="H5:H13" si="0">IF( AND(C5&gt;=D5,E5="Yes"),"Achieves","failed")</f>
        <v>failed</v>
      </c>
      <c r="I5" s="7" t="str">
        <f t="shared" ref="I5:I13" si="1">IF( OR(C5&gt;=D5,F5&gt;=4),"Bonus","No Bonus")</f>
        <v>No Bonus</v>
      </c>
      <c r="J5" s="7" t="str">
        <f t="shared" ref="J5:J13" si="2">IF(C5&gt;D5*1.2,"Excellent",IF(C5&gt;=D5,"Good","Needs Improvemen"))</f>
        <v>Needs Improvemen</v>
      </c>
      <c r="K5" s="2"/>
      <c r="L5" s="7" t="str" cm="1">
        <f t="array" ref="L5">_xlfn.SWITCH(TRUE,F5&gt;=4,"A",F5&gt;=2,"B","C")</f>
        <v>B</v>
      </c>
    </row>
    <row r="6" spans="1:13" ht="18" customHeight="1" thickBot="1" x14ac:dyDescent="0.35">
      <c r="A6" s="4" t="s">
        <v>11</v>
      </c>
      <c r="B6" s="5" t="s">
        <v>8</v>
      </c>
      <c r="C6" s="6">
        <v>18000</v>
      </c>
      <c r="D6" s="6">
        <v>20000</v>
      </c>
      <c r="E6" s="5" t="s">
        <v>34</v>
      </c>
      <c r="F6" s="5">
        <v>5</v>
      </c>
      <c r="G6" s="2"/>
      <c r="H6" s="7" t="str">
        <f t="shared" si="0"/>
        <v>failed</v>
      </c>
      <c r="I6" s="7" t="str">
        <f t="shared" si="1"/>
        <v>Bonus</v>
      </c>
      <c r="J6" s="7" t="str">
        <f t="shared" si="2"/>
        <v>Needs Improvemen</v>
      </c>
      <c r="K6" s="2"/>
      <c r="L6" s="7" t="str" cm="1">
        <f t="array" ref="L6">_xlfn.SWITCH(TRUE,F6&gt;=4,"A",F6&gt;=2,"B","C")</f>
        <v>A</v>
      </c>
    </row>
    <row r="7" spans="1:13" ht="18" customHeight="1" x14ac:dyDescent="0.3">
      <c r="A7" s="8" t="s">
        <v>12</v>
      </c>
      <c r="B7" s="9" t="s">
        <v>13</v>
      </c>
      <c r="C7" s="10">
        <v>11000</v>
      </c>
      <c r="D7" s="10">
        <v>11000</v>
      </c>
      <c r="E7" s="9" t="s">
        <v>35</v>
      </c>
      <c r="F7" s="9">
        <v>3</v>
      </c>
      <c r="G7" s="2"/>
      <c r="H7" s="7" t="str">
        <f t="shared" si="0"/>
        <v>failed</v>
      </c>
      <c r="I7" s="7" t="str">
        <f t="shared" si="1"/>
        <v>Bonus</v>
      </c>
      <c r="J7" s="7" t="str">
        <f t="shared" si="2"/>
        <v>Good</v>
      </c>
      <c r="K7" s="2"/>
      <c r="L7" s="7" t="str" cm="1">
        <f t="array" ref="L7">_xlfn.SWITCH(TRUE,F7&gt;=4,"A",F7&gt;=2,"B","C")</f>
        <v>B</v>
      </c>
    </row>
    <row r="8" spans="1:13" ht="18" customHeight="1" x14ac:dyDescent="0.3">
      <c r="A8" s="4" t="s">
        <v>14</v>
      </c>
      <c r="B8" s="5" t="s">
        <v>8</v>
      </c>
      <c r="C8" s="6">
        <v>22000</v>
      </c>
      <c r="D8" s="6">
        <v>20000</v>
      </c>
      <c r="E8" s="5" t="s">
        <v>34</v>
      </c>
      <c r="F8" s="5">
        <v>5</v>
      </c>
      <c r="G8" s="2"/>
      <c r="H8" s="7" t="str">
        <f t="shared" si="0"/>
        <v>Achieves</v>
      </c>
      <c r="I8" s="7" t="str">
        <f t="shared" si="1"/>
        <v>Bonus</v>
      </c>
      <c r="J8" s="7" t="str">
        <f t="shared" si="2"/>
        <v>Good</v>
      </c>
      <c r="K8" s="2"/>
      <c r="L8" s="7" t="str" cm="1">
        <f t="array" ref="L8">_xlfn.SWITCH(TRUE,F8&gt;=4,"A",F8&gt;=2,"B","C")</f>
        <v>A</v>
      </c>
    </row>
    <row r="9" spans="1:13" ht="18" customHeight="1" x14ac:dyDescent="0.3">
      <c r="A9" s="8" t="s">
        <v>15</v>
      </c>
      <c r="B9" s="9" t="s">
        <v>10</v>
      </c>
      <c r="C9" s="10">
        <v>7500</v>
      </c>
      <c r="D9" s="10">
        <v>8000</v>
      </c>
      <c r="E9" s="9" t="s">
        <v>35</v>
      </c>
      <c r="F9" s="9">
        <v>1</v>
      </c>
      <c r="G9" s="2"/>
      <c r="H9" s="7" t="str">
        <f t="shared" si="0"/>
        <v>failed</v>
      </c>
      <c r="I9" s="7" t="str">
        <f t="shared" si="1"/>
        <v>No Bonus</v>
      </c>
      <c r="J9" s="7" t="str">
        <f t="shared" si="2"/>
        <v>Needs Improvemen</v>
      </c>
      <c r="K9" s="2"/>
      <c r="L9" s="7" t="str" cm="1">
        <f t="array" ref="L9">_xlfn.SWITCH(TRUE,F9&gt;=4,"A",F9&gt;=2,"B","C")</f>
        <v>C</v>
      </c>
    </row>
    <row r="10" spans="1:13" ht="18" customHeight="1" x14ac:dyDescent="0.3">
      <c r="A10" s="4" t="s">
        <v>16</v>
      </c>
      <c r="B10" s="5" t="s">
        <v>13</v>
      </c>
      <c r="C10" s="6">
        <v>14000</v>
      </c>
      <c r="D10" s="6">
        <v>14000</v>
      </c>
      <c r="E10" s="5" t="s">
        <v>34</v>
      </c>
      <c r="F10" s="5">
        <v>4</v>
      </c>
      <c r="G10" s="2"/>
      <c r="H10" s="7" t="str">
        <f t="shared" si="0"/>
        <v>Achieves</v>
      </c>
      <c r="I10" s="7" t="str">
        <f t="shared" si="1"/>
        <v>Bonus</v>
      </c>
      <c r="J10" s="7" t="str">
        <f t="shared" si="2"/>
        <v>Good</v>
      </c>
      <c r="K10" s="2"/>
      <c r="L10" s="7" t="str" cm="1">
        <f t="array" ref="L10">_xlfn.SWITCH(TRUE,F10&gt;=4,"A",F10&gt;=2,"B","C")</f>
        <v>A</v>
      </c>
    </row>
    <row r="11" spans="1:13" ht="18" customHeight="1" x14ac:dyDescent="0.3">
      <c r="A11" s="8" t="s">
        <v>17</v>
      </c>
      <c r="B11" s="9" t="s">
        <v>8</v>
      </c>
      <c r="C11" s="10">
        <v>9000</v>
      </c>
      <c r="D11" s="10">
        <v>10000</v>
      </c>
      <c r="E11" s="9" t="s">
        <v>35</v>
      </c>
      <c r="F11" s="9">
        <v>2</v>
      </c>
      <c r="G11" s="2"/>
      <c r="H11" s="7" t="str">
        <f t="shared" si="0"/>
        <v>failed</v>
      </c>
      <c r="I11" s="7" t="str">
        <f t="shared" si="1"/>
        <v>No Bonus</v>
      </c>
      <c r="J11" s="7" t="str">
        <f t="shared" si="2"/>
        <v>Needs Improvemen</v>
      </c>
      <c r="K11" s="2"/>
      <c r="L11" s="7" t="str" cm="1">
        <f t="array" ref="L11">_xlfn.SWITCH(TRUE,F11&gt;=4,"A",F11&gt;=2,"B","C")</f>
        <v>B</v>
      </c>
    </row>
    <row r="12" spans="1:13" ht="18" customHeight="1" x14ac:dyDescent="0.3">
      <c r="A12" s="4" t="s">
        <v>18</v>
      </c>
      <c r="B12" s="5" t="s">
        <v>10</v>
      </c>
      <c r="C12" s="6">
        <v>10500</v>
      </c>
      <c r="D12" s="6">
        <v>11000</v>
      </c>
      <c r="E12" s="5" t="s">
        <v>35</v>
      </c>
      <c r="F12" s="5">
        <v>3</v>
      </c>
      <c r="G12" s="2"/>
      <c r="H12" s="7" t="str">
        <f t="shared" si="0"/>
        <v>failed</v>
      </c>
      <c r="I12" s="7" t="str">
        <f t="shared" si="1"/>
        <v>No Bonus</v>
      </c>
      <c r="J12" s="7" t="str">
        <f t="shared" si="2"/>
        <v>Needs Improvemen</v>
      </c>
      <c r="K12" s="2"/>
      <c r="L12" s="7" t="str" cm="1">
        <f t="array" ref="L12">_xlfn.SWITCH(TRUE,F12&gt;=4,"A",F12&gt;=2,"B","C")</f>
        <v>B</v>
      </c>
    </row>
    <row r="13" spans="1:13" ht="18" customHeight="1" x14ac:dyDescent="0.3">
      <c r="A13" s="8" t="s">
        <v>19</v>
      </c>
      <c r="B13" s="9" t="s">
        <v>13</v>
      </c>
      <c r="C13" s="10">
        <v>16000</v>
      </c>
      <c r="D13" s="10">
        <v>16000</v>
      </c>
      <c r="E13" s="9" t="s">
        <v>34</v>
      </c>
      <c r="F13" s="9">
        <v>5</v>
      </c>
      <c r="G13" s="2"/>
      <c r="H13" s="7" t="str">
        <f t="shared" si="0"/>
        <v>Achieves</v>
      </c>
      <c r="I13" s="7" t="str">
        <f t="shared" si="1"/>
        <v>Bonus</v>
      </c>
      <c r="J13" s="7" t="str">
        <f t="shared" si="2"/>
        <v>Good</v>
      </c>
      <c r="K13" s="2"/>
      <c r="L13" s="7" t="str" cm="1">
        <f t="array" ref="L13">_xlfn.SWITCH(TRUE,F13&gt;=4,"A",F13&gt;=2,"B","C")</f>
        <v>A</v>
      </c>
    </row>
    <row r="14" spans="1:13" ht="14.25" customHeight="1" x14ac:dyDescent="0.3">
      <c r="G14" s="2"/>
      <c r="K14" s="2"/>
    </row>
    <row r="15" spans="1:13" ht="150" customHeight="1" x14ac:dyDescent="0.3">
      <c r="A15" s="22" t="s">
        <v>40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3" ht="14.25" customHeight="1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14.25" customHeight="1" x14ac:dyDescent="0.3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14.25" customHeight="1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14.25" customHeight="1" x14ac:dyDescent="0.3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14.25" customHeight="1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14.25" customHeight="1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ht="14.25" customHeight="1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14.25" customHeight="1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14.25" customHeight="1" x14ac:dyDescent="0.3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M1"/>
    <mergeCell ref="A2:M2"/>
    <mergeCell ref="A15:L2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1 - AGG Functions</vt:lpstr>
      <vt:lpstr>2 - AGG with Condition</vt:lpstr>
      <vt:lpstr>3 - IF AND OR 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زهران سيد</cp:lastModifiedBy>
  <dcterms:created xsi:type="dcterms:W3CDTF">2026-04-26T12:50:58Z</dcterms:created>
  <dcterms:modified xsi:type="dcterms:W3CDTF">2026-07-01T18:27:37Z</dcterms:modified>
</cp:coreProperties>
</file>
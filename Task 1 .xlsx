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einces\excel elmonzer\ملفات العمل\01 المحاضرة الأولى\"/>
    </mc:Choice>
  </mc:AlternateContent>
  <xr:revisionPtr revIDLastSave="0" documentId="8_{149F16FD-1595-49BD-B2CF-3FC393E466E1}" xr6:coauthVersionLast="47" xr6:coauthVersionMax="47" xr10:uidLastSave="{00000000-0000-0000-0000-000000000000}"/>
  <bookViews>
    <workbookView xWindow="-108" yWindow="-108" windowWidth="23256" windowHeight="12456" xr2:uid="{63C93D11-94FF-4321-AC7E-F50A9EC4A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N9" i="1"/>
  <c r="N8" i="1"/>
  <c r="N7" i="1"/>
  <c r="N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N10" i="1" l="1"/>
</calcChain>
</file>

<file path=xl/sharedStrings.xml><?xml version="1.0" encoding="utf-8"?>
<sst xmlns="http://schemas.openxmlformats.org/spreadsheetml/2006/main" count="54" uniqueCount="52">
  <si>
    <t>الرقم التسلسلي</t>
  </si>
  <si>
    <t>المادة</t>
  </si>
  <si>
    <t>وقت التسليم</t>
  </si>
  <si>
    <t>تاريخ التسليم</t>
  </si>
  <si>
    <t>الكمية</t>
  </si>
  <si>
    <t>المبلغ المستحق</t>
  </si>
  <si>
    <t>المبلغ المدفوع</t>
  </si>
  <si>
    <t>المبلغ المتبقي</t>
  </si>
  <si>
    <t>دفاتر</t>
  </si>
  <si>
    <t>مماسح</t>
  </si>
  <si>
    <t>كتب</t>
  </si>
  <si>
    <t>مجلدات</t>
  </si>
  <si>
    <t>اغلفة</t>
  </si>
  <si>
    <t>حقائب</t>
  </si>
  <si>
    <t>ساعات حائط</t>
  </si>
  <si>
    <t>أوراق كتابة</t>
  </si>
  <si>
    <t xml:space="preserve">طباشير </t>
  </si>
  <si>
    <t>مساطير</t>
  </si>
  <si>
    <t xml:space="preserve"> دفاتر رسم</t>
  </si>
  <si>
    <t>مصنفات</t>
  </si>
  <si>
    <t>تقويم</t>
  </si>
  <si>
    <t>ملصقات</t>
  </si>
  <si>
    <t>أقالم حائط</t>
  </si>
  <si>
    <t>أقالم تلوين</t>
  </si>
  <si>
    <t>قرطاسية مكتب</t>
  </si>
  <si>
    <t>أقلام</t>
  </si>
  <si>
    <t>منبة</t>
  </si>
  <si>
    <t>9.30AM</t>
  </si>
  <si>
    <t>10.00Am</t>
  </si>
  <si>
    <t>11.30AM</t>
  </si>
  <si>
    <t>10.20Am</t>
  </si>
  <si>
    <t>3.00PM</t>
  </si>
  <si>
    <t>1.40PM</t>
  </si>
  <si>
    <t>10.50Am</t>
  </si>
  <si>
    <t>1.00PM</t>
  </si>
  <si>
    <t>2.30PM</t>
  </si>
  <si>
    <t>11.35AM</t>
  </si>
  <si>
    <t>10.42Am</t>
  </si>
  <si>
    <t>9.11AM</t>
  </si>
  <si>
    <t>10.05Am</t>
  </si>
  <si>
    <t>11.49AM</t>
  </si>
  <si>
    <t>10.18Am</t>
  </si>
  <si>
    <t>1.30PM</t>
  </si>
  <si>
    <t>1.26Pm</t>
  </si>
  <si>
    <t>12.30PM</t>
  </si>
  <si>
    <t>2.00Pm</t>
  </si>
  <si>
    <t>سعر الواحدة</t>
  </si>
  <si>
    <t>عدد الأنواع</t>
  </si>
  <si>
    <t>مجموع الكميات</t>
  </si>
  <si>
    <t>مجموع المبالغ المستحقة</t>
  </si>
  <si>
    <t>معدل المبالغ المستحقة</t>
  </si>
  <si>
    <t>مجموع المبالغ المتبقية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</si>
</sst>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29D0-3F3B-45AA-A9FF-A0DC9E13BA0A}">
  <dimension ref="A1:N21"/>
  <sheetViews>
    <sheetView tabSelected="1" workbookViewId="0">
      <selection activeCell="N14" sqref="N14"/>
    </sheetView>
  </sheetViews>
  <sheetFormatPr defaultRowHeight="13.8" x14ac:dyDescent="0.25"/>
  <cols>
    <col min="2" max="2" width="9.3984375" bestFit="1" customWidth="1"/>
    <col min="3" max="3" width="9.8984375" bestFit="1" customWidth="1"/>
    <col min="8" max="8" width="10" bestFit="1" customWidth="1"/>
    <col min="9" max="9" width="10.59765625" bestFit="1" customWidth="1"/>
    <col min="12" max="12" width="6.5" customWidth="1"/>
    <col min="13" max="13" width="15.09765625" customWidth="1"/>
    <col min="14" max="14" width="11.59765625" bestFit="1" customWidth="1"/>
  </cols>
  <sheetData>
    <row r="1" spans="1:14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46</v>
      </c>
      <c r="G1" t="s">
        <v>5</v>
      </c>
      <c r="H1" t="s">
        <v>6</v>
      </c>
      <c r="I1" t="s">
        <v>7</v>
      </c>
    </row>
    <row r="2" spans="1:14" x14ac:dyDescent="0.25">
      <c r="A2">
        <v>1</v>
      </c>
      <c r="B2" t="s">
        <v>25</v>
      </c>
      <c r="C2" s="1">
        <v>42736</v>
      </c>
      <c r="D2" t="s">
        <v>27</v>
      </c>
      <c r="E2">
        <v>10</v>
      </c>
      <c r="F2">
        <v>10</v>
      </c>
      <c r="G2">
        <f>E2*F2</f>
        <v>100</v>
      </c>
      <c r="H2" s="3">
        <f>G2*35%</f>
        <v>35</v>
      </c>
      <c r="I2" s="3">
        <f>G2-H2</f>
        <v>65</v>
      </c>
    </row>
    <row r="3" spans="1:14" x14ac:dyDescent="0.25">
      <c r="A3">
        <v>2</v>
      </c>
      <c r="B3" t="s">
        <v>8</v>
      </c>
      <c r="C3" s="1">
        <v>42755</v>
      </c>
      <c r="D3" t="s">
        <v>33</v>
      </c>
      <c r="E3">
        <v>12</v>
      </c>
      <c r="F3">
        <v>20</v>
      </c>
      <c r="G3">
        <f t="shared" ref="G3:G21" si="0">E3*F3</f>
        <v>240</v>
      </c>
      <c r="H3" s="3">
        <f t="shared" ref="H3:H21" si="1">G3*35%</f>
        <v>84</v>
      </c>
      <c r="I3" s="3">
        <f t="shared" ref="I3:I21" si="2">G3-H3</f>
        <v>156</v>
      </c>
    </row>
    <row r="4" spans="1:14" x14ac:dyDescent="0.25">
      <c r="A4">
        <v>3</v>
      </c>
      <c r="B4" t="s">
        <v>9</v>
      </c>
      <c r="C4" s="1">
        <v>42774</v>
      </c>
      <c r="D4" t="s">
        <v>29</v>
      </c>
      <c r="E4">
        <v>19</v>
      </c>
      <c r="F4">
        <v>5</v>
      </c>
      <c r="G4">
        <f t="shared" si="0"/>
        <v>95</v>
      </c>
      <c r="H4" s="3">
        <f t="shared" si="1"/>
        <v>33.25</v>
      </c>
      <c r="I4" s="3">
        <f t="shared" si="2"/>
        <v>61.75</v>
      </c>
    </row>
    <row r="5" spans="1:14" x14ac:dyDescent="0.25">
      <c r="A5">
        <v>4</v>
      </c>
      <c r="B5" t="s">
        <v>10</v>
      </c>
      <c r="C5" s="1">
        <v>42793</v>
      </c>
      <c r="D5" t="s">
        <v>30</v>
      </c>
      <c r="E5">
        <v>18</v>
      </c>
      <c r="F5">
        <v>20</v>
      </c>
      <c r="G5">
        <f t="shared" si="0"/>
        <v>360</v>
      </c>
      <c r="H5" s="3">
        <f t="shared" si="1"/>
        <v>125.99999999999999</v>
      </c>
      <c r="I5" s="3">
        <f t="shared" si="2"/>
        <v>234</v>
      </c>
    </row>
    <row r="6" spans="1:14" x14ac:dyDescent="0.25">
      <c r="A6">
        <v>5</v>
      </c>
      <c r="B6" t="s">
        <v>8</v>
      </c>
      <c r="C6" s="1">
        <v>42812</v>
      </c>
      <c r="D6" t="s">
        <v>32</v>
      </c>
      <c r="E6">
        <v>22</v>
      </c>
      <c r="F6">
        <v>15</v>
      </c>
      <c r="G6">
        <f t="shared" si="0"/>
        <v>330</v>
      </c>
      <c r="H6" s="3">
        <f t="shared" si="1"/>
        <v>115.49999999999999</v>
      </c>
      <c r="I6" s="3">
        <f t="shared" si="2"/>
        <v>214.5</v>
      </c>
      <c r="M6" s="2" t="s">
        <v>47</v>
      </c>
      <c r="N6">
        <f>COUNTA(A2:A21)</f>
        <v>20</v>
      </c>
    </row>
    <row r="7" spans="1:14" x14ac:dyDescent="0.25">
      <c r="A7">
        <v>6</v>
      </c>
      <c r="B7" t="s">
        <v>11</v>
      </c>
      <c r="C7" s="1">
        <v>42831</v>
      </c>
      <c r="D7" t="s">
        <v>34</v>
      </c>
      <c r="E7">
        <v>17</v>
      </c>
      <c r="F7">
        <v>25</v>
      </c>
      <c r="G7">
        <f t="shared" si="0"/>
        <v>425</v>
      </c>
      <c r="H7" s="3">
        <f t="shared" si="1"/>
        <v>148.75</v>
      </c>
      <c r="I7" s="3">
        <f t="shared" si="2"/>
        <v>276.25</v>
      </c>
      <c r="M7" s="2" t="s">
        <v>48</v>
      </c>
      <c r="N7">
        <f>SUM(E2:E21)</f>
        <v>372</v>
      </c>
    </row>
    <row r="8" spans="1:14" x14ac:dyDescent="0.25">
      <c r="A8">
        <v>7</v>
      </c>
      <c r="B8" t="s">
        <v>12</v>
      </c>
      <c r="C8" s="1">
        <v>42850</v>
      </c>
      <c r="D8" t="s">
        <v>35</v>
      </c>
      <c r="E8">
        <v>29</v>
      </c>
      <c r="F8">
        <v>13</v>
      </c>
      <c r="G8">
        <f t="shared" si="0"/>
        <v>377</v>
      </c>
      <c r="H8" s="3">
        <f t="shared" si="1"/>
        <v>131.94999999999999</v>
      </c>
      <c r="I8" s="3">
        <f t="shared" si="2"/>
        <v>245.05</v>
      </c>
      <c r="M8" s="2" t="s">
        <v>49</v>
      </c>
      <c r="N8">
        <f>SUM(G2:G21)</f>
        <v>5691.5</v>
      </c>
    </row>
    <row r="9" spans="1:14" x14ac:dyDescent="0.25">
      <c r="A9">
        <v>8</v>
      </c>
      <c r="B9" t="s">
        <v>13</v>
      </c>
      <c r="C9" s="1">
        <v>42869</v>
      </c>
      <c r="D9" t="s">
        <v>31</v>
      </c>
      <c r="E9">
        <v>13</v>
      </c>
      <c r="F9">
        <v>24</v>
      </c>
      <c r="G9">
        <f t="shared" si="0"/>
        <v>312</v>
      </c>
      <c r="H9" s="3">
        <f t="shared" si="1"/>
        <v>109.19999999999999</v>
      </c>
      <c r="I9" s="3">
        <f t="shared" si="2"/>
        <v>202.8</v>
      </c>
      <c r="M9" s="2" t="s">
        <v>50</v>
      </c>
      <c r="N9">
        <f>AVERAGE(G2:G21)</f>
        <v>284.57499999999999</v>
      </c>
    </row>
    <row r="10" spans="1:14" x14ac:dyDescent="0.25">
      <c r="A10">
        <v>9</v>
      </c>
      <c r="B10" t="s">
        <v>14</v>
      </c>
      <c r="C10" s="1">
        <v>42888</v>
      </c>
      <c r="D10" t="s">
        <v>36</v>
      </c>
      <c r="E10">
        <v>15</v>
      </c>
      <c r="F10">
        <v>16</v>
      </c>
      <c r="G10">
        <f t="shared" si="0"/>
        <v>240</v>
      </c>
      <c r="H10" s="3">
        <f t="shared" si="1"/>
        <v>84</v>
      </c>
      <c r="I10" s="3">
        <f t="shared" si="2"/>
        <v>156</v>
      </c>
      <c r="M10" s="2" t="s">
        <v>51</v>
      </c>
      <c r="N10" s="3">
        <f>SUM(I2:I21)</f>
        <v>3699.4749999999999</v>
      </c>
    </row>
    <row r="11" spans="1:14" x14ac:dyDescent="0.25">
      <c r="A11">
        <v>10</v>
      </c>
      <c r="B11" t="s">
        <v>26</v>
      </c>
      <c r="C11" s="1">
        <v>42907</v>
      </c>
      <c r="D11" t="s">
        <v>37</v>
      </c>
      <c r="E11">
        <v>30</v>
      </c>
      <c r="F11">
        <v>12</v>
      </c>
      <c r="G11">
        <f t="shared" si="0"/>
        <v>360</v>
      </c>
      <c r="H11" s="3">
        <f t="shared" si="1"/>
        <v>125.99999999999999</v>
      </c>
      <c r="I11" s="3">
        <f t="shared" si="2"/>
        <v>234</v>
      </c>
    </row>
    <row r="12" spans="1:14" x14ac:dyDescent="0.25">
      <c r="A12">
        <v>11</v>
      </c>
      <c r="B12" t="s">
        <v>15</v>
      </c>
      <c r="C12" s="1">
        <v>42926</v>
      </c>
      <c r="D12" t="s">
        <v>38</v>
      </c>
      <c r="E12">
        <v>28</v>
      </c>
      <c r="F12">
        <v>8.1999999999999993</v>
      </c>
      <c r="G12">
        <f t="shared" si="0"/>
        <v>229.59999999999997</v>
      </c>
      <c r="H12" s="3">
        <f t="shared" si="1"/>
        <v>80.359999999999985</v>
      </c>
      <c r="I12" s="3">
        <f t="shared" si="2"/>
        <v>149.23999999999998</v>
      </c>
    </row>
    <row r="13" spans="1:14" x14ac:dyDescent="0.25">
      <c r="A13">
        <v>12</v>
      </c>
      <c r="B13" t="s">
        <v>16</v>
      </c>
      <c r="C13" s="1">
        <v>42945</v>
      </c>
      <c r="D13" t="s">
        <v>39</v>
      </c>
      <c r="E13">
        <v>16</v>
      </c>
      <c r="F13">
        <v>1.3</v>
      </c>
      <c r="G13">
        <f t="shared" si="0"/>
        <v>20.8</v>
      </c>
      <c r="H13" s="3">
        <f t="shared" si="1"/>
        <v>7.2799999999999994</v>
      </c>
      <c r="I13" s="3">
        <f t="shared" si="2"/>
        <v>13.520000000000001</v>
      </c>
    </row>
    <row r="14" spans="1:14" x14ac:dyDescent="0.25">
      <c r="A14">
        <v>13</v>
      </c>
      <c r="B14" t="s">
        <v>17</v>
      </c>
      <c r="C14" s="1">
        <v>42964</v>
      </c>
      <c r="D14" t="s">
        <v>40</v>
      </c>
      <c r="E14">
        <v>13</v>
      </c>
      <c r="F14">
        <v>3.2</v>
      </c>
      <c r="G14">
        <f t="shared" si="0"/>
        <v>41.6</v>
      </c>
      <c r="H14" s="3">
        <f t="shared" si="1"/>
        <v>14.559999999999999</v>
      </c>
      <c r="I14" s="3">
        <f t="shared" si="2"/>
        <v>27.040000000000003</v>
      </c>
    </row>
    <row r="15" spans="1:14" x14ac:dyDescent="0.25">
      <c r="A15">
        <v>14</v>
      </c>
      <c r="B15" t="s">
        <v>24</v>
      </c>
      <c r="C15" s="1">
        <v>42983</v>
      </c>
      <c r="D15" t="s">
        <v>41</v>
      </c>
      <c r="E15">
        <v>25</v>
      </c>
      <c r="F15">
        <v>4.3</v>
      </c>
      <c r="G15">
        <f t="shared" si="0"/>
        <v>107.5</v>
      </c>
      <c r="H15" s="3">
        <f t="shared" si="1"/>
        <v>37.625</v>
      </c>
      <c r="I15" s="3">
        <f t="shared" si="2"/>
        <v>69.875</v>
      </c>
    </row>
    <row r="16" spans="1:14" x14ac:dyDescent="0.25">
      <c r="A16">
        <v>15</v>
      </c>
      <c r="B16" t="s">
        <v>23</v>
      </c>
      <c r="C16" s="1">
        <v>43002</v>
      </c>
      <c r="D16" t="s">
        <v>42</v>
      </c>
      <c r="E16">
        <v>23</v>
      </c>
      <c r="F16">
        <v>16</v>
      </c>
      <c r="G16">
        <f t="shared" si="0"/>
        <v>368</v>
      </c>
      <c r="H16" s="3">
        <f t="shared" si="1"/>
        <v>128.79999999999998</v>
      </c>
      <c r="I16" s="3">
        <f t="shared" si="2"/>
        <v>239.20000000000002</v>
      </c>
    </row>
    <row r="17" spans="1:9" x14ac:dyDescent="0.25">
      <c r="A17">
        <v>16</v>
      </c>
      <c r="B17" t="s">
        <v>22</v>
      </c>
      <c r="C17" s="1">
        <v>43021</v>
      </c>
      <c r="D17" t="s">
        <v>43</v>
      </c>
      <c r="E17">
        <v>12</v>
      </c>
      <c r="F17">
        <v>20</v>
      </c>
      <c r="G17">
        <f t="shared" si="0"/>
        <v>240</v>
      </c>
      <c r="H17" s="3">
        <f t="shared" si="1"/>
        <v>84</v>
      </c>
      <c r="I17" s="3">
        <f t="shared" si="2"/>
        <v>156</v>
      </c>
    </row>
    <row r="18" spans="1:9" x14ac:dyDescent="0.25">
      <c r="A18">
        <v>17</v>
      </c>
      <c r="B18" t="s">
        <v>21</v>
      </c>
      <c r="C18" s="1">
        <v>43040</v>
      </c>
      <c r="D18" t="s">
        <v>44</v>
      </c>
      <c r="E18">
        <v>11</v>
      </c>
      <c r="F18">
        <v>12</v>
      </c>
      <c r="G18">
        <f t="shared" si="0"/>
        <v>132</v>
      </c>
      <c r="H18" s="3">
        <f t="shared" si="1"/>
        <v>46.199999999999996</v>
      </c>
      <c r="I18" s="3">
        <f t="shared" si="2"/>
        <v>85.800000000000011</v>
      </c>
    </row>
    <row r="19" spans="1:9" x14ac:dyDescent="0.25">
      <c r="A19">
        <v>18</v>
      </c>
      <c r="B19" t="s">
        <v>20</v>
      </c>
      <c r="C19" s="1">
        <v>43059</v>
      </c>
      <c r="D19" t="s">
        <v>45</v>
      </c>
      <c r="E19">
        <v>10</v>
      </c>
      <c r="F19">
        <v>32</v>
      </c>
      <c r="G19">
        <f t="shared" si="0"/>
        <v>320</v>
      </c>
      <c r="H19" s="3">
        <f t="shared" si="1"/>
        <v>112</v>
      </c>
      <c r="I19" s="3">
        <f t="shared" si="2"/>
        <v>208</v>
      </c>
    </row>
    <row r="20" spans="1:9" x14ac:dyDescent="0.25">
      <c r="A20">
        <v>19</v>
      </c>
      <c r="B20" t="s">
        <v>19</v>
      </c>
      <c r="C20" s="1">
        <v>43078</v>
      </c>
      <c r="D20" t="s">
        <v>35</v>
      </c>
      <c r="E20">
        <v>27</v>
      </c>
      <c r="F20">
        <v>41</v>
      </c>
      <c r="G20">
        <f t="shared" si="0"/>
        <v>1107</v>
      </c>
      <c r="H20" s="3">
        <f t="shared" si="1"/>
        <v>387.45</v>
      </c>
      <c r="I20" s="3">
        <f t="shared" si="2"/>
        <v>719.55</v>
      </c>
    </row>
    <row r="21" spans="1:9" x14ac:dyDescent="0.25">
      <c r="A21">
        <v>20</v>
      </c>
      <c r="B21" t="s">
        <v>18</v>
      </c>
      <c r="C21" s="1">
        <v>43097</v>
      </c>
      <c r="D21" t="s">
        <v>28</v>
      </c>
      <c r="E21">
        <v>22</v>
      </c>
      <c r="F21">
        <v>13</v>
      </c>
      <c r="G21">
        <f t="shared" si="0"/>
        <v>286</v>
      </c>
      <c r="H21" s="3">
        <f t="shared" si="1"/>
        <v>100.1</v>
      </c>
      <c r="I21" s="3">
        <f t="shared" si="2"/>
        <v>185.9</v>
      </c>
    </row>
  </sheetData>
  <phoneticPr fontId="1" type="noConversion"/>
  <conditionalFormatting sqref="N6:N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O-BLUE</dc:creator>
  <cp:lastModifiedBy>O-BLUE</cp:lastModifiedBy>
  <dcterms:created xsi:type="dcterms:W3CDTF">2026-06-10T11:04:07Z</dcterms:created>
  <dcterms:modified xsi:type="dcterms:W3CDTF">2026-06-10T11:47:46Z</dcterms:modified>
</cp:coreProperties>
</file>
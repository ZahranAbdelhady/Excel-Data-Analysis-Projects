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Munthir\Dropbox (Personal)\Courses\Rewaq\Exercises\03 التمرين العملي الثالث\"/>
    </mc:Choice>
  </mc:AlternateContent>
  <bookViews>
    <workbookView xWindow="0" yWindow="0" windowWidth="28800" windowHeight="12900" xr2:uid="{D252D773-9656-4990-A500-60823FCFCFD2}"/>
  </bookViews>
  <sheets>
    <sheet name="وضع العوائل" sheetId="1" r:id="rId1"/>
  </sheets>
  <definedNames>
    <definedName name="_xlnm._FilterDatabase" localSheetId="0" hidden="1">'وضع العوائل'!$A$1:$O$59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2" i="1"/>
  <c r="R9" i="1" l="1"/>
  <c r="R8" i="1"/>
  <c r="R7" i="1"/>
  <c r="R6" i="1"/>
  <c r="K6" i="1"/>
  <c r="K46" i="1"/>
  <c r="K28" i="1"/>
  <c r="K47" i="1"/>
  <c r="K29" i="1"/>
  <c r="K30" i="1"/>
  <c r="K7" i="1"/>
  <c r="K31" i="1"/>
  <c r="K8" i="1"/>
  <c r="K32" i="1"/>
  <c r="K9" i="1"/>
  <c r="K48" i="1"/>
  <c r="K10" i="1"/>
  <c r="K11" i="1"/>
  <c r="K12" i="1"/>
  <c r="K13" i="1"/>
  <c r="K14" i="1"/>
  <c r="K15" i="1"/>
  <c r="K33" i="1"/>
  <c r="K34" i="1"/>
  <c r="K35" i="1"/>
  <c r="K2" i="1"/>
  <c r="K16" i="1"/>
  <c r="K36" i="1"/>
  <c r="K37" i="1"/>
  <c r="K17" i="1"/>
  <c r="K49" i="1"/>
  <c r="K38" i="1"/>
  <c r="K18" i="1"/>
  <c r="K19" i="1"/>
  <c r="K39" i="1"/>
  <c r="K20" i="1"/>
  <c r="K57" i="1"/>
  <c r="K50" i="1"/>
  <c r="K40" i="1"/>
  <c r="K51" i="1"/>
  <c r="K21" i="1"/>
  <c r="K41" i="1"/>
  <c r="K3" i="1"/>
  <c r="K52" i="1"/>
  <c r="K22" i="1"/>
  <c r="K42" i="1"/>
  <c r="K53" i="1"/>
  <c r="K23" i="1"/>
  <c r="K43" i="1"/>
  <c r="K58" i="1"/>
  <c r="K44" i="1"/>
  <c r="K54" i="1"/>
  <c r="K59" i="1"/>
  <c r="K45" i="1"/>
  <c r="K4" i="1"/>
  <c r="K55" i="1"/>
  <c r="K56" i="1"/>
  <c r="K5" i="1"/>
  <c r="K24" i="1"/>
  <c r="K25" i="1"/>
  <c r="K26" i="1"/>
  <c r="K27" i="1"/>
  <c r="J6" i="1"/>
  <c r="J46" i="1"/>
  <c r="J28" i="1"/>
  <c r="J47" i="1"/>
  <c r="J29" i="1"/>
  <c r="J30" i="1"/>
  <c r="J7" i="1"/>
  <c r="J31" i="1"/>
  <c r="J8" i="1"/>
  <c r="J32" i="1"/>
  <c r="J9" i="1"/>
  <c r="J48" i="1"/>
  <c r="J10" i="1"/>
  <c r="J11" i="1"/>
  <c r="J12" i="1"/>
  <c r="J13" i="1"/>
  <c r="J14" i="1"/>
  <c r="J15" i="1"/>
  <c r="J33" i="1"/>
  <c r="J34" i="1"/>
  <c r="J35" i="1"/>
  <c r="J2" i="1"/>
  <c r="J16" i="1"/>
  <c r="J36" i="1"/>
  <c r="J37" i="1"/>
  <c r="J17" i="1"/>
  <c r="J49" i="1"/>
  <c r="J38" i="1"/>
  <c r="J18" i="1"/>
  <c r="J19" i="1"/>
  <c r="J39" i="1"/>
  <c r="J20" i="1"/>
  <c r="J57" i="1"/>
  <c r="J50" i="1"/>
  <c r="J40" i="1"/>
  <c r="J51" i="1"/>
  <c r="J21" i="1"/>
  <c r="J41" i="1"/>
  <c r="J3" i="1"/>
  <c r="J52" i="1"/>
  <c r="J22" i="1"/>
  <c r="J42" i="1"/>
  <c r="J53" i="1"/>
  <c r="J23" i="1"/>
  <c r="J43" i="1"/>
  <c r="J58" i="1"/>
  <c r="J44" i="1"/>
  <c r="J54" i="1"/>
  <c r="J59" i="1"/>
  <c r="J45" i="1"/>
  <c r="J4" i="1"/>
  <c r="J55" i="1"/>
  <c r="J56" i="1"/>
  <c r="J5" i="1"/>
  <c r="J24" i="1"/>
  <c r="J25" i="1"/>
  <c r="J26" i="1"/>
  <c r="J27" i="1"/>
  <c r="I6" i="1"/>
  <c r="I46" i="1"/>
  <c r="I28" i="1"/>
  <c r="M28" i="1" s="1"/>
  <c r="N28" i="1" s="1"/>
  <c r="O28" i="1" s="1"/>
  <c r="I47" i="1"/>
  <c r="I29" i="1"/>
  <c r="I30" i="1"/>
  <c r="I7" i="1"/>
  <c r="M7" i="1" s="1"/>
  <c r="N7" i="1" s="1"/>
  <c r="O7" i="1" s="1"/>
  <c r="I31" i="1"/>
  <c r="I8" i="1"/>
  <c r="I32" i="1"/>
  <c r="I9" i="1"/>
  <c r="M9" i="1" s="1"/>
  <c r="N9" i="1" s="1"/>
  <c r="O9" i="1" s="1"/>
  <c r="I48" i="1"/>
  <c r="I10" i="1"/>
  <c r="I11" i="1"/>
  <c r="I12" i="1"/>
  <c r="M12" i="1" s="1"/>
  <c r="N12" i="1" s="1"/>
  <c r="O12" i="1" s="1"/>
  <c r="I13" i="1"/>
  <c r="I14" i="1"/>
  <c r="I15" i="1"/>
  <c r="I33" i="1"/>
  <c r="M33" i="1" s="1"/>
  <c r="N33" i="1" s="1"/>
  <c r="O33" i="1" s="1"/>
  <c r="I34" i="1"/>
  <c r="I35" i="1"/>
  <c r="I2" i="1"/>
  <c r="I16" i="1"/>
  <c r="M16" i="1" s="1"/>
  <c r="N16" i="1" s="1"/>
  <c r="O16" i="1" s="1"/>
  <c r="I36" i="1"/>
  <c r="I37" i="1"/>
  <c r="I17" i="1"/>
  <c r="I49" i="1"/>
  <c r="M49" i="1" s="1"/>
  <c r="N49" i="1" s="1"/>
  <c r="O49" i="1" s="1"/>
  <c r="I38" i="1"/>
  <c r="I18" i="1"/>
  <c r="I19" i="1"/>
  <c r="I39" i="1"/>
  <c r="M39" i="1" s="1"/>
  <c r="N39" i="1" s="1"/>
  <c r="O39" i="1" s="1"/>
  <c r="I20" i="1"/>
  <c r="I57" i="1"/>
  <c r="I50" i="1"/>
  <c r="I40" i="1"/>
  <c r="M40" i="1" s="1"/>
  <c r="N40" i="1" s="1"/>
  <c r="O40" i="1" s="1"/>
  <c r="I51" i="1"/>
  <c r="I21" i="1"/>
  <c r="I41" i="1"/>
  <c r="I3" i="1"/>
  <c r="M3" i="1" s="1"/>
  <c r="N3" i="1" s="1"/>
  <c r="O3" i="1" s="1"/>
  <c r="I52" i="1"/>
  <c r="I22" i="1"/>
  <c r="I42" i="1"/>
  <c r="I53" i="1"/>
  <c r="M53" i="1" s="1"/>
  <c r="N53" i="1" s="1"/>
  <c r="O53" i="1" s="1"/>
  <c r="I23" i="1"/>
  <c r="I43" i="1"/>
  <c r="I58" i="1"/>
  <c r="I44" i="1"/>
  <c r="M44" i="1" s="1"/>
  <c r="N44" i="1" s="1"/>
  <c r="O44" i="1" s="1"/>
  <c r="I54" i="1"/>
  <c r="I59" i="1"/>
  <c r="I45" i="1"/>
  <c r="I4" i="1"/>
  <c r="M4" i="1" s="1"/>
  <c r="N4" i="1" s="1"/>
  <c r="O4" i="1" s="1"/>
  <c r="I55" i="1"/>
  <c r="I56" i="1"/>
  <c r="I5" i="1"/>
  <c r="I24" i="1"/>
  <c r="M24" i="1" s="1"/>
  <c r="N24" i="1" s="1"/>
  <c r="O24" i="1" s="1"/>
  <c r="I25" i="1"/>
  <c r="I26" i="1"/>
  <c r="I27" i="1"/>
  <c r="M27" i="1" l="1"/>
  <c r="N27" i="1" s="1"/>
  <c r="O27" i="1" s="1"/>
  <c r="M5" i="1"/>
  <c r="N5" i="1" s="1"/>
  <c r="O5" i="1" s="1"/>
  <c r="M45" i="1"/>
  <c r="N45" i="1" s="1"/>
  <c r="O45" i="1" s="1"/>
  <c r="M58" i="1"/>
  <c r="N58" i="1" s="1"/>
  <c r="O58" i="1" s="1"/>
  <c r="M42" i="1"/>
  <c r="N42" i="1" s="1"/>
  <c r="O42" i="1" s="1"/>
  <c r="M41" i="1"/>
  <c r="N41" i="1" s="1"/>
  <c r="O41" i="1" s="1"/>
  <c r="M50" i="1"/>
  <c r="N50" i="1" s="1"/>
  <c r="O50" i="1" s="1"/>
  <c r="M19" i="1"/>
  <c r="N19" i="1" s="1"/>
  <c r="O19" i="1" s="1"/>
  <c r="M17" i="1"/>
  <c r="N17" i="1" s="1"/>
  <c r="O17" i="1" s="1"/>
  <c r="M2" i="1"/>
  <c r="N2" i="1" s="1"/>
  <c r="O2" i="1" s="1"/>
  <c r="M15" i="1"/>
  <c r="N15" i="1" s="1"/>
  <c r="O15" i="1" s="1"/>
  <c r="M11" i="1"/>
  <c r="N11" i="1" s="1"/>
  <c r="O11" i="1" s="1"/>
  <c r="M26" i="1"/>
  <c r="N26" i="1" s="1"/>
  <c r="O26" i="1" s="1"/>
  <c r="M56" i="1"/>
  <c r="N56" i="1" s="1"/>
  <c r="O56" i="1" s="1"/>
  <c r="M59" i="1"/>
  <c r="N59" i="1" s="1"/>
  <c r="O59" i="1" s="1"/>
  <c r="M43" i="1"/>
  <c r="N43" i="1" s="1"/>
  <c r="O43" i="1" s="1"/>
  <c r="M22" i="1"/>
  <c r="N22" i="1" s="1"/>
  <c r="O22" i="1" s="1"/>
  <c r="M21" i="1"/>
  <c r="N21" i="1" s="1"/>
  <c r="O21" i="1" s="1"/>
  <c r="M57" i="1"/>
  <c r="N57" i="1" s="1"/>
  <c r="O57" i="1" s="1"/>
  <c r="M18" i="1"/>
  <c r="N18" i="1" s="1"/>
  <c r="O18" i="1" s="1"/>
  <c r="M37" i="1"/>
  <c r="N37" i="1" s="1"/>
  <c r="O37" i="1" s="1"/>
  <c r="M35" i="1"/>
  <c r="N35" i="1" s="1"/>
  <c r="O35" i="1" s="1"/>
  <c r="M14" i="1"/>
  <c r="N14" i="1" s="1"/>
  <c r="O14" i="1" s="1"/>
  <c r="M10" i="1"/>
  <c r="N10" i="1" s="1"/>
  <c r="O10" i="1" s="1"/>
  <c r="M8" i="1"/>
  <c r="N8" i="1" s="1"/>
  <c r="O8" i="1" s="1"/>
  <c r="M29" i="1"/>
  <c r="N29" i="1" s="1"/>
  <c r="O29" i="1" s="1"/>
  <c r="M6" i="1"/>
  <c r="N6" i="1" s="1"/>
  <c r="O6" i="1" s="1"/>
  <c r="M25" i="1"/>
  <c r="N25" i="1" s="1"/>
  <c r="O25" i="1" s="1"/>
  <c r="M55" i="1"/>
  <c r="N55" i="1" s="1"/>
  <c r="O55" i="1" s="1"/>
  <c r="M54" i="1"/>
  <c r="N54" i="1" s="1"/>
  <c r="O54" i="1" s="1"/>
  <c r="M23" i="1"/>
  <c r="N23" i="1" s="1"/>
  <c r="O23" i="1" s="1"/>
  <c r="M52" i="1"/>
  <c r="N52" i="1" s="1"/>
  <c r="O52" i="1" s="1"/>
  <c r="M51" i="1"/>
  <c r="N51" i="1" s="1"/>
  <c r="O51" i="1" s="1"/>
  <c r="M20" i="1"/>
  <c r="N20" i="1" s="1"/>
  <c r="O20" i="1" s="1"/>
  <c r="M38" i="1"/>
  <c r="N38" i="1" s="1"/>
  <c r="O38" i="1" s="1"/>
  <c r="M36" i="1"/>
  <c r="N36" i="1" s="1"/>
  <c r="O36" i="1" s="1"/>
  <c r="M34" i="1"/>
  <c r="N34" i="1" s="1"/>
  <c r="O34" i="1" s="1"/>
  <c r="M32" i="1"/>
  <c r="N32" i="1" s="1"/>
  <c r="O32" i="1" s="1"/>
  <c r="M30" i="1"/>
  <c r="N30" i="1" s="1"/>
  <c r="O30" i="1" s="1"/>
  <c r="M46" i="1"/>
  <c r="N46" i="1" s="1"/>
  <c r="O46" i="1" s="1"/>
  <c r="M48" i="1"/>
  <c r="N48" i="1" s="1"/>
  <c r="O48" i="1" s="1"/>
  <c r="M47" i="1"/>
  <c r="N47" i="1" s="1"/>
  <c r="O47" i="1" s="1"/>
  <c r="M13" i="1"/>
  <c r="N13" i="1" s="1"/>
  <c r="O13" i="1" s="1"/>
  <c r="M31" i="1"/>
  <c r="N31" i="1" s="1"/>
  <c r="O31" i="1" s="1"/>
</calcChain>
</file>

<file path=xl/sharedStrings.xml><?xml version="1.0" encoding="utf-8"?>
<sst xmlns="http://schemas.openxmlformats.org/spreadsheetml/2006/main" count="254" uniqueCount="83">
  <si>
    <t>المعيل</t>
  </si>
  <si>
    <t>فوق سن 5</t>
  </si>
  <si>
    <t>وجود إعاقة لدى أحد الأبناء</t>
  </si>
  <si>
    <t>وجود عمل لدى العائلة</t>
  </si>
  <si>
    <t>الأب</t>
  </si>
  <si>
    <t>-</t>
  </si>
  <si>
    <t>نعم</t>
  </si>
  <si>
    <t>الأم</t>
  </si>
  <si>
    <t>كود العائلة</t>
  </si>
  <si>
    <t>وجود إعاقة لأحد الأبناء</t>
  </si>
  <si>
    <t>وجود عمل للعائلة</t>
  </si>
  <si>
    <t>أكثر من طفلين تحت سن 5</t>
  </si>
  <si>
    <t>عدد الأبناء</t>
  </si>
  <si>
    <t>الأبناء أكثر أو يساوي 4</t>
  </si>
  <si>
    <t>تحت سن 5 ذكور</t>
  </si>
  <si>
    <t>تحت سن 5 إناث</t>
  </si>
  <si>
    <t>C193061</t>
  </si>
  <si>
    <t>Y314886</t>
  </si>
  <si>
    <t>G435338</t>
  </si>
  <si>
    <t>Q842577</t>
  </si>
  <si>
    <t>R508833</t>
  </si>
  <si>
    <t>V200614</t>
  </si>
  <si>
    <t>P623454</t>
  </si>
  <si>
    <t>N410834</t>
  </si>
  <si>
    <t>M703701</t>
  </si>
  <si>
    <t>I298895</t>
  </si>
  <si>
    <t>O218016</t>
  </si>
  <si>
    <t>P820359</t>
  </si>
  <si>
    <t>H117937</t>
  </si>
  <si>
    <t>N580671</t>
  </si>
  <si>
    <t>C115123</t>
  </si>
  <si>
    <t>T962612</t>
  </si>
  <si>
    <t>F820258</t>
  </si>
  <si>
    <t>P602686</t>
  </si>
  <si>
    <t>M404815</t>
  </si>
  <si>
    <t>Q374036</t>
  </si>
  <si>
    <t>Z324586</t>
  </si>
  <si>
    <t>Z664501</t>
  </si>
  <si>
    <t>T479778</t>
  </si>
  <si>
    <t>C782478</t>
  </si>
  <si>
    <t>Y125775</t>
  </si>
  <si>
    <t>C573592</t>
  </si>
  <si>
    <t>C699582</t>
  </si>
  <si>
    <t>M641603</t>
  </si>
  <si>
    <t>U277663</t>
  </si>
  <si>
    <t>A683679</t>
  </si>
  <si>
    <t>P218726</t>
  </si>
  <si>
    <t>O902632</t>
  </si>
  <si>
    <t>X817323</t>
  </si>
  <si>
    <t>J730726</t>
  </si>
  <si>
    <t>I384798</t>
  </si>
  <si>
    <t>Q384732</t>
  </si>
  <si>
    <t>V544713</t>
  </si>
  <si>
    <t>N505939</t>
  </si>
  <si>
    <t>L307078</t>
  </si>
  <si>
    <t>C208543</t>
  </si>
  <si>
    <t>Q438012</t>
  </si>
  <si>
    <t>M703496</t>
  </si>
  <si>
    <t>M695618</t>
  </si>
  <si>
    <t>P629565</t>
  </si>
  <si>
    <t>Y952699</t>
  </si>
  <si>
    <t>J306642</t>
  </si>
  <si>
    <t>Q508336</t>
  </si>
  <si>
    <t>N560012</t>
  </si>
  <si>
    <t>G154408</t>
  </si>
  <si>
    <t>N152183</t>
  </si>
  <si>
    <t>U611150</t>
  </si>
  <si>
    <t>Q894094</t>
  </si>
  <si>
    <t>L134101</t>
  </si>
  <si>
    <t>F147234</t>
  </si>
  <si>
    <t>C955464</t>
  </si>
  <si>
    <t>A204042</t>
  </si>
  <si>
    <t>N990212</t>
  </si>
  <si>
    <t>D177225</t>
  </si>
  <si>
    <t>درجة وضع العائلة</t>
  </si>
  <si>
    <t>عدد العوائل</t>
  </si>
  <si>
    <t>عدد الأبناء تحت سن 5 سنوات</t>
  </si>
  <si>
    <t>عدد الأبناء فوق سن 5 سنوات</t>
  </si>
  <si>
    <t>عدد العوائل التي يوجد بأحد أبنائها إعاقة</t>
  </si>
  <si>
    <t>عدد العوائل الغير عاملة</t>
  </si>
  <si>
    <t>المبلغ المستحق لكل درجة</t>
  </si>
  <si>
    <t>استحقاق المعونة</t>
  </si>
  <si>
    <t>المبلغ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</si>
</sst>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2164-55D3-4FF6-8B54-B02E1EFF3631}">
  <dimension ref="A1:R59"/>
  <sheetViews>
    <sheetView tabSelected="1" topLeftCell="E1" zoomScaleNormal="100" workbookViewId="0">
      <selection activeCell="R11" sqref="R11"/>
    </sheetView>
  </sheetViews>
  <sheetFormatPr defaultRowHeight="14.25" x14ac:dyDescent="0.2"/>
  <cols>
    <col min="1" max="3" width="11.75" style="5" customWidth="1"/>
    <col min="4" max="5" width="8.625" style="5" customWidth="1"/>
    <col min="6" max="6" width="9.25" style="5" customWidth="1"/>
    <col min="7" max="7" width="9.75" style="5" customWidth="1"/>
    <col min="8" max="8" width="7.875" style="5" customWidth="1"/>
    <col min="9" max="9" width="9" style="5"/>
    <col min="10" max="10" width="10.125" style="5" customWidth="1"/>
    <col min="11" max="16" width="9" style="5"/>
    <col min="17" max="17" width="24.75" style="5" bestFit="1" customWidth="1"/>
    <col min="18" max="18" width="12.125" style="5" customWidth="1"/>
    <col min="19" max="16384" width="9" style="5"/>
  </cols>
  <sheetData>
    <row r="1" spans="1:18" ht="33" customHeight="1" x14ac:dyDescent="0.2">
      <c r="A1" s="1" t="s">
        <v>8</v>
      </c>
      <c r="B1" s="1" t="s">
        <v>0</v>
      </c>
      <c r="C1" s="1" t="s">
        <v>12</v>
      </c>
      <c r="D1" s="1" t="s">
        <v>14</v>
      </c>
      <c r="E1" s="1" t="s">
        <v>15</v>
      </c>
      <c r="F1" s="1" t="s">
        <v>1</v>
      </c>
      <c r="G1" s="1" t="s">
        <v>2</v>
      </c>
      <c r="H1" s="1" t="s">
        <v>3</v>
      </c>
      <c r="I1" s="2" t="s">
        <v>13</v>
      </c>
      <c r="J1" s="2" t="s">
        <v>11</v>
      </c>
      <c r="K1" s="2" t="s">
        <v>9</v>
      </c>
      <c r="L1" s="2" t="s">
        <v>10</v>
      </c>
      <c r="M1" s="3" t="s">
        <v>74</v>
      </c>
      <c r="N1" s="4" t="s">
        <v>81</v>
      </c>
      <c r="O1" s="4" t="s">
        <v>82</v>
      </c>
      <c r="Q1" s="6" t="s">
        <v>80</v>
      </c>
    </row>
    <row r="2" spans="1:18" ht="15" x14ac:dyDescent="0.2">
      <c r="A2" s="7" t="s">
        <v>38</v>
      </c>
      <c r="B2" s="7" t="s">
        <v>4</v>
      </c>
      <c r="C2" s="7">
        <v>11</v>
      </c>
      <c r="D2" s="7">
        <v>3</v>
      </c>
      <c r="E2" s="7">
        <v>3</v>
      </c>
      <c r="F2" s="7">
        <v>5</v>
      </c>
      <c r="G2" s="7" t="s">
        <v>6</v>
      </c>
      <c r="H2" s="7" t="s">
        <v>5</v>
      </c>
      <c r="I2" s="7">
        <f t="shared" ref="I2:I33" si="0">IF(C2&gt;=4,1,"")</f>
        <v>1</v>
      </c>
      <c r="J2" s="7">
        <f t="shared" ref="J2:J33" si="1">IF(D2+E2&gt;2,1,"")</f>
        <v>1</v>
      </c>
      <c r="K2" s="7">
        <f t="shared" ref="K2:K33" si="2">IF(G2="نعم",1,"")</f>
        <v>1</v>
      </c>
      <c r="L2" s="7">
        <f>IF(H2="نعم","",1)</f>
        <v>1</v>
      </c>
      <c r="M2" s="7">
        <f t="shared" ref="M2:M33" si="3">SUM(I2:L2)</f>
        <v>4</v>
      </c>
      <c r="N2" s="7" t="str">
        <f t="shared" ref="N2:N33" si="4">IF(M2&gt;=3,"مستحق","غير مستحق")</f>
        <v>مستحق</v>
      </c>
      <c r="O2" s="7">
        <f t="shared" ref="O2:O33" si="5">IF(N2="مستحق",M2*$Q$2,"")</f>
        <v>400</v>
      </c>
      <c r="Q2" s="8">
        <v>100</v>
      </c>
    </row>
    <row r="3" spans="1:18" x14ac:dyDescent="0.2">
      <c r="A3" s="7" t="s">
        <v>55</v>
      </c>
      <c r="B3" s="7" t="s">
        <v>4</v>
      </c>
      <c r="C3" s="7">
        <v>9</v>
      </c>
      <c r="D3" s="7">
        <v>1</v>
      </c>
      <c r="E3" s="7">
        <v>3</v>
      </c>
      <c r="F3" s="7">
        <v>5</v>
      </c>
      <c r="G3" s="7" t="s">
        <v>6</v>
      </c>
      <c r="H3" s="7" t="s">
        <v>5</v>
      </c>
      <c r="I3" s="7">
        <f t="shared" si="0"/>
        <v>1</v>
      </c>
      <c r="J3" s="7">
        <f t="shared" si="1"/>
        <v>1</v>
      </c>
      <c r="K3" s="7">
        <f t="shared" si="2"/>
        <v>1</v>
      </c>
      <c r="L3" s="7">
        <f t="shared" ref="L3:L59" si="6">IF(H3="نعم","",1)</f>
        <v>1</v>
      </c>
      <c r="M3" s="7">
        <f t="shared" si="3"/>
        <v>4</v>
      </c>
      <c r="N3" s="7" t="str">
        <f t="shared" si="4"/>
        <v>مستحق</v>
      </c>
      <c r="O3" s="7">
        <f t="shared" si="5"/>
        <v>400</v>
      </c>
    </row>
    <row r="4" spans="1:18" x14ac:dyDescent="0.2">
      <c r="A4" s="7" t="s">
        <v>67</v>
      </c>
      <c r="B4" s="7" t="s">
        <v>4</v>
      </c>
      <c r="C4" s="7">
        <v>8</v>
      </c>
      <c r="D4" s="7">
        <v>3</v>
      </c>
      <c r="E4" s="7">
        <v>2</v>
      </c>
      <c r="F4" s="7">
        <v>3</v>
      </c>
      <c r="G4" s="7" t="s">
        <v>6</v>
      </c>
      <c r="H4" s="7" t="s">
        <v>5</v>
      </c>
      <c r="I4" s="7">
        <f t="shared" si="0"/>
        <v>1</v>
      </c>
      <c r="J4" s="7">
        <f t="shared" si="1"/>
        <v>1</v>
      </c>
      <c r="K4" s="7">
        <f t="shared" si="2"/>
        <v>1</v>
      </c>
      <c r="L4" s="7">
        <f t="shared" si="6"/>
        <v>1</v>
      </c>
      <c r="M4" s="7">
        <f t="shared" si="3"/>
        <v>4</v>
      </c>
      <c r="N4" s="7" t="str">
        <f t="shared" si="4"/>
        <v>مستحق</v>
      </c>
      <c r="O4" s="7">
        <f t="shared" si="5"/>
        <v>400</v>
      </c>
    </row>
    <row r="5" spans="1:18" x14ac:dyDescent="0.2">
      <c r="A5" s="7" t="s">
        <v>70</v>
      </c>
      <c r="B5" s="7" t="s">
        <v>7</v>
      </c>
      <c r="C5" s="7">
        <v>7</v>
      </c>
      <c r="D5" s="7">
        <v>0</v>
      </c>
      <c r="E5" s="7">
        <v>3</v>
      </c>
      <c r="F5" s="7">
        <v>4</v>
      </c>
      <c r="G5" s="7" t="s">
        <v>6</v>
      </c>
      <c r="H5" s="7" t="s">
        <v>5</v>
      </c>
      <c r="I5" s="7">
        <f t="shared" si="0"/>
        <v>1</v>
      </c>
      <c r="J5" s="7">
        <f t="shared" si="1"/>
        <v>1</v>
      </c>
      <c r="K5" s="7">
        <f t="shared" si="2"/>
        <v>1</v>
      </c>
      <c r="L5" s="7">
        <f t="shared" si="6"/>
        <v>1</v>
      </c>
      <c r="M5" s="7">
        <f t="shared" si="3"/>
        <v>4</v>
      </c>
      <c r="N5" s="7" t="str">
        <f t="shared" si="4"/>
        <v>مستحق</v>
      </c>
      <c r="O5" s="7">
        <f t="shared" si="5"/>
        <v>400</v>
      </c>
    </row>
    <row r="6" spans="1:18" x14ac:dyDescent="0.2">
      <c r="A6" s="7" t="s">
        <v>17</v>
      </c>
      <c r="B6" s="7" t="s">
        <v>4</v>
      </c>
      <c r="C6" s="7">
        <v>7</v>
      </c>
      <c r="D6" s="7">
        <v>1</v>
      </c>
      <c r="E6" s="7">
        <v>3</v>
      </c>
      <c r="F6" s="7">
        <v>3</v>
      </c>
      <c r="G6" s="7" t="s">
        <v>5</v>
      </c>
      <c r="H6" s="7" t="s">
        <v>5</v>
      </c>
      <c r="I6" s="7">
        <f t="shared" si="0"/>
        <v>1</v>
      </c>
      <c r="J6" s="7">
        <f t="shared" si="1"/>
        <v>1</v>
      </c>
      <c r="K6" s="7" t="str">
        <f t="shared" si="2"/>
        <v/>
      </c>
      <c r="L6" s="7">
        <f t="shared" si="6"/>
        <v>1</v>
      </c>
      <c r="M6" s="7">
        <f t="shared" si="3"/>
        <v>3</v>
      </c>
      <c r="N6" s="7" t="str">
        <f t="shared" si="4"/>
        <v>مستحق</v>
      </c>
      <c r="O6" s="7">
        <f t="shared" si="5"/>
        <v>300</v>
      </c>
      <c r="Q6" s="9" t="s">
        <v>75</v>
      </c>
      <c r="R6" s="9">
        <f>COUNTA(A2:A59)</f>
        <v>58</v>
      </c>
    </row>
    <row r="7" spans="1:18" x14ac:dyDescent="0.2">
      <c r="A7" s="7" t="s">
        <v>23</v>
      </c>
      <c r="B7" s="7" t="s">
        <v>4</v>
      </c>
      <c r="C7" s="7">
        <v>8</v>
      </c>
      <c r="D7" s="7">
        <v>3</v>
      </c>
      <c r="E7" s="7">
        <v>2</v>
      </c>
      <c r="F7" s="7">
        <v>3</v>
      </c>
      <c r="G7" s="7" t="s">
        <v>5</v>
      </c>
      <c r="H7" s="7" t="s">
        <v>5</v>
      </c>
      <c r="I7" s="7">
        <f t="shared" si="0"/>
        <v>1</v>
      </c>
      <c r="J7" s="7">
        <f t="shared" si="1"/>
        <v>1</v>
      </c>
      <c r="K7" s="7" t="str">
        <f t="shared" si="2"/>
        <v/>
      </c>
      <c r="L7" s="7">
        <f t="shared" si="6"/>
        <v>1</v>
      </c>
      <c r="M7" s="7">
        <f t="shared" si="3"/>
        <v>3</v>
      </c>
      <c r="N7" s="7" t="str">
        <f t="shared" si="4"/>
        <v>مستحق</v>
      </c>
      <c r="O7" s="7">
        <f t="shared" si="5"/>
        <v>300</v>
      </c>
      <c r="Q7" s="9" t="s">
        <v>12</v>
      </c>
      <c r="R7" s="9">
        <f>SUM(C2:C59)</f>
        <v>309</v>
      </c>
    </row>
    <row r="8" spans="1:18" x14ac:dyDescent="0.2">
      <c r="A8" s="7" t="s">
        <v>25</v>
      </c>
      <c r="B8" s="7" t="s">
        <v>4</v>
      </c>
      <c r="C8" s="7">
        <v>8</v>
      </c>
      <c r="D8" s="7">
        <v>3</v>
      </c>
      <c r="E8" s="7">
        <v>1</v>
      </c>
      <c r="F8" s="7">
        <v>4</v>
      </c>
      <c r="G8" s="7" t="s">
        <v>6</v>
      </c>
      <c r="H8" s="7" t="s">
        <v>6</v>
      </c>
      <c r="I8" s="7">
        <f t="shared" si="0"/>
        <v>1</v>
      </c>
      <c r="J8" s="7">
        <f t="shared" si="1"/>
        <v>1</v>
      </c>
      <c r="K8" s="7">
        <f t="shared" si="2"/>
        <v>1</v>
      </c>
      <c r="L8" s="7" t="str">
        <f t="shared" si="6"/>
        <v/>
      </c>
      <c r="M8" s="7">
        <f t="shared" si="3"/>
        <v>3</v>
      </c>
      <c r="N8" s="7" t="str">
        <f t="shared" si="4"/>
        <v>مستحق</v>
      </c>
      <c r="O8" s="7">
        <f t="shared" si="5"/>
        <v>300</v>
      </c>
      <c r="Q8" s="9" t="s">
        <v>76</v>
      </c>
      <c r="R8" s="9">
        <f>SUM(D2:E59)</f>
        <v>165</v>
      </c>
    </row>
    <row r="9" spans="1:18" x14ac:dyDescent="0.2">
      <c r="A9" s="7" t="s">
        <v>27</v>
      </c>
      <c r="B9" s="7" t="s">
        <v>4</v>
      </c>
      <c r="C9" s="7">
        <v>7</v>
      </c>
      <c r="D9" s="7">
        <v>0</v>
      </c>
      <c r="E9" s="7">
        <v>2</v>
      </c>
      <c r="F9" s="7">
        <v>5</v>
      </c>
      <c r="G9" s="7" t="s">
        <v>6</v>
      </c>
      <c r="H9" s="7" t="s">
        <v>5</v>
      </c>
      <c r="I9" s="7">
        <f t="shared" si="0"/>
        <v>1</v>
      </c>
      <c r="J9" s="7" t="str">
        <f t="shared" si="1"/>
        <v/>
      </c>
      <c r="K9" s="7">
        <f t="shared" si="2"/>
        <v>1</v>
      </c>
      <c r="L9" s="7">
        <f t="shared" si="6"/>
        <v>1</v>
      </c>
      <c r="M9" s="7">
        <f t="shared" si="3"/>
        <v>3</v>
      </c>
      <c r="N9" s="7" t="str">
        <f t="shared" si="4"/>
        <v>مستحق</v>
      </c>
      <c r="O9" s="7">
        <f t="shared" si="5"/>
        <v>300</v>
      </c>
      <c r="Q9" s="9" t="s">
        <v>77</v>
      </c>
      <c r="R9" s="9">
        <f>SUM(F2:F59)</f>
        <v>144</v>
      </c>
    </row>
    <row r="10" spans="1:18" x14ac:dyDescent="0.2">
      <c r="A10" s="7" t="s">
        <v>29</v>
      </c>
      <c r="B10" s="7" t="s">
        <v>7</v>
      </c>
      <c r="C10" s="7">
        <v>5</v>
      </c>
      <c r="D10" s="7">
        <v>1</v>
      </c>
      <c r="E10" s="7">
        <v>2</v>
      </c>
      <c r="F10" s="7">
        <v>2</v>
      </c>
      <c r="G10" s="7" t="s">
        <v>5</v>
      </c>
      <c r="H10" s="7" t="s">
        <v>5</v>
      </c>
      <c r="I10" s="7">
        <f t="shared" si="0"/>
        <v>1</v>
      </c>
      <c r="J10" s="7">
        <f t="shared" si="1"/>
        <v>1</v>
      </c>
      <c r="K10" s="7" t="str">
        <f t="shared" si="2"/>
        <v/>
      </c>
      <c r="L10" s="7">
        <f t="shared" si="6"/>
        <v>1</v>
      </c>
      <c r="M10" s="7">
        <f t="shared" si="3"/>
        <v>3</v>
      </c>
      <c r="N10" s="7" t="str">
        <f t="shared" si="4"/>
        <v>مستحق</v>
      </c>
      <c r="O10" s="7">
        <f t="shared" si="5"/>
        <v>300</v>
      </c>
    </row>
    <row r="11" spans="1:18" x14ac:dyDescent="0.2">
      <c r="A11" s="7" t="s">
        <v>30</v>
      </c>
      <c r="B11" s="7" t="s">
        <v>4</v>
      </c>
      <c r="C11" s="7">
        <v>5</v>
      </c>
      <c r="D11" s="7">
        <v>1</v>
      </c>
      <c r="E11" s="7">
        <v>1</v>
      </c>
      <c r="F11" s="7">
        <v>3</v>
      </c>
      <c r="G11" s="7" t="s">
        <v>6</v>
      </c>
      <c r="H11" s="7" t="s">
        <v>5</v>
      </c>
      <c r="I11" s="7">
        <f t="shared" si="0"/>
        <v>1</v>
      </c>
      <c r="J11" s="7" t="str">
        <f t="shared" si="1"/>
        <v/>
      </c>
      <c r="K11" s="7">
        <f t="shared" si="2"/>
        <v>1</v>
      </c>
      <c r="L11" s="7">
        <f t="shared" si="6"/>
        <v>1</v>
      </c>
      <c r="M11" s="7">
        <f t="shared" si="3"/>
        <v>3</v>
      </c>
      <c r="N11" s="7" t="str">
        <f t="shared" si="4"/>
        <v>مستحق</v>
      </c>
      <c r="O11" s="7">
        <f t="shared" si="5"/>
        <v>300</v>
      </c>
      <c r="Q11" s="9" t="s">
        <v>78</v>
      </c>
      <c r="R11" s="9">
        <v>19</v>
      </c>
    </row>
    <row r="12" spans="1:18" x14ac:dyDescent="0.2">
      <c r="A12" s="7" t="s">
        <v>31</v>
      </c>
      <c r="B12" s="7" t="s">
        <v>4</v>
      </c>
      <c r="C12" s="7">
        <v>8</v>
      </c>
      <c r="D12" s="7">
        <v>2</v>
      </c>
      <c r="E12" s="7">
        <v>2</v>
      </c>
      <c r="F12" s="7">
        <v>4</v>
      </c>
      <c r="G12" s="7" t="s">
        <v>6</v>
      </c>
      <c r="H12" s="7" t="s">
        <v>6</v>
      </c>
      <c r="I12" s="7">
        <f t="shared" si="0"/>
        <v>1</v>
      </c>
      <c r="J12" s="7">
        <f t="shared" si="1"/>
        <v>1</v>
      </c>
      <c r="K12" s="7">
        <f t="shared" si="2"/>
        <v>1</v>
      </c>
      <c r="L12" s="7" t="str">
        <f t="shared" si="6"/>
        <v/>
      </c>
      <c r="M12" s="7">
        <f t="shared" si="3"/>
        <v>3</v>
      </c>
      <c r="N12" s="7" t="str">
        <f t="shared" si="4"/>
        <v>مستحق</v>
      </c>
      <c r="O12" s="7">
        <f t="shared" si="5"/>
        <v>300</v>
      </c>
      <c r="Q12" s="9" t="s">
        <v>79</v>
      </c>
      <c r="R12" s="9">
        <v>31</v>
      </c>
    </row>
    <row r="13" spans="1:18" x14ac:dyDescent="0.2">
      <c r="A13" s="7" t="s">
        <v>32</v>
      </c>
      <c r="B13" s="7" t="s">
        <v>4</v>
      </c>
      <c r="C13" s="7">
        <v>5</v>
      </c>
      <c r="D13" s="7">
        <v>3</v>
      </c>
      <c r="E13" s="7">
        <v>2</v>
      </c>
      <c r="F13" s="7">
        <v>0</v>
      </c>
      <c r="G13" s="7" t="s">
        <v>6</v>
      </c>
      <c r="H13" s="7" t="s">
        <v>6</v>
      </c>
      <c r="I13" s="7">
        <f t="shared" si="0"/>
        <v>1</v>
      </c>
      <c r="J13" s="7">
        <f t="shared" si="1"/>
        <v>1</v>
      </c>
      <c r="K13" s="7">
        <f t="shared" si="2"/>
        <v>1</v>
      </c>
      <c r="L13" s="7" t="str">
        <f t="shared" si="6"/>
        <v/>
      </c>
      <c r="M13" s="7">
        <f t="shared" si="3"/>
        <v>3</v>
      </c>
      <c r="N13" s="7" t="str">
        <f t="shared" si="4"/>
        <v>مستحق</v>
      </c>
      <c r="O13" s="7">
        <f t="shared" si="5"/>
        <v>300</v>
      </c>
    </row>
    <row r="14" spans="1:18" x14ac:dyDescent="0.2">
      <c r="A14" s="7" t="s">
        <v>33</v>
      </c>
      <c r="B14" s="7" t="s">
        <v>4</v>
      </c>
      <c r="C14" s="7">
        <v>6</v>
      </c>
      <c r="D14" s="7">
        <v>3</v>
      </c>
      <c r="E14" s="7">
        <v>2</v>
      </c>
      <c r="F14" s="7">
        <v>1</v>
      </c>
      <c r="G14" s="7" t="s">
        <v>6</v>
      </c>
      <c r="H14" s="7" t="s">
        <v>6</v>
      </c>
      <c r="I14" s="7">
        <f t="shared" si="0"/>
        <v>1</v>
      </c>
      <c r="J14" s="7">
        <f t="shared" si="1"/>
        <v>1</v>
      </c>
      <c r="K14" s="7">
        <f t="shared" si="2"/>
        <v>1</v>
      </c>
      <c r="L14" s="7" t="str">
        <f t="shared" si="6"/>
        <v/>
      </c>
      <c r="M14" s="7">
        <f t="shared" si="3"/>
        <v>3</v>
      </c>
      <c r="N14" s="7" t="str">
        <f t="shared" si="4"/>
        <v>مستحق</v>
      </c>
      <c r="O14" s="7">
        <f t="shared" si="5"/>
        <v>300</v>
      </c>
    </row>
    <row r="15" spans="1:18" x14ac:dyDescent="0.2">
      <c r="A15" s="7" t="s">
        <v>34</v>
      </c>
      <c r="B15" s="7" t="s">
        <v>7</v>
      </c>
      <c r="C15" s="7">
        <v>7</v>
      </c>
      <c r="D15" s="7">
        <v>0</v>
      </c>
      <c r="E15" s="7">
        <v>2</v>
      </c>
      <c r="F15" s="7">
        <v>5</v>
      </c>
      <c r="G15" s="7" t="s">
        <v>6</v>
      </c>
      <c r="H15" s="7" t="s">
        <v>5</v>
      </c>
      <c r="I15" s="7">
        <f t="shared" si="0"/>
        <v>1</v>
      </c>
      <c r="J15" s="7" t="str">
        <f t="shared" si="1"/>
        <v/>
      </c>
      <c r="K15" s="7">
        <f t="shared" si="2"/>
        <v>1</v>
      </c>
      <c r="L15" s="7">
        <f t="shared" si="6"/>
        <v>1</v>
      </c>
      <c r="M15" s="7">
        <f t="shared" si="3"/>
        <v>3</v>
      </c>
      <c r="N15" s="7" t="str">
        <f t="shared" si="4"/>
        <v>مستحق</v>
      </c>
      <c r="O15" s="7">
        <f t="shared" si="5"/>
        <v>300</v>
      </c>
    </row>
    <row r="16" spans="1:18" x14ac:dyDescent="0.2">
      <c r="A16" s="7" t="s">
        <v>39</v>
      </c>
      <c r="B16" s="7" t="s">
        <v>7</v>
      </c>
      <c r="C16" s="7">
        <v>6</v>
      </c>
      <c r="D16" s="7">
        <v>0</v>
      </c>
      <c r="E16" s="7">
        <v>2</v>
      </c>
      <c r="F16" s="7">
        <v>4</v>
      </c>
      <c r="G16" s="7" t="s">
        <v>6</v>
      </c>
      <c r="H16" s="7" t="s">
        <v>5</v>
      </c>
      <c r="I16" s="7">
        <f t="shared" si="0"/>
        <v>1</v>
      </c>
      <c r="J16" s="7" t="str">
        <f t="shared" si="1"/>
        <v/>
      </c>
      <c r="K16" s="7">
        <f t="shared" si="2"/>
        <v>1</v>
      </c>
      <c r="L16" s="7">
        <f t="shared" si="6"/>
        <v>1</v>
      </c>
      <c r="M16" s="7">
        <f t="shared" si="3"/>
        <v>3</v>
      </c>
      <c r="N16" s="7" t="str">
        <f t="shared" si="4"/>
        <v>مستحق</v>
      </c>
      <c r="O16" s="7">
        <f t="shared" si="5"/>
        <v>300</v>
      </c>
    </row>
    <row r="17" spans="1:15" x14ac:dyDescent="0.2">
      <c r="A17" s="7" t="s">
        <v>42</v>
      </c>
      <c r="B17" s="7" t="s">
        <v>4</v>
      </c>
      <c r="C17" s="7">
        <v>5</v>
      </c>
      <c r="D17" s="7">
        <v>2</v>
      </c>
      <c r="E17" s="7">
        <v>2</v>
      </c>
      <c r="F17" s="7">
        <v>1</v>
      </c>
      <c r="G17" s="7" t="s">
        <v>5</v>
      </c>
      <c r="H17" s="7" t="s">
        <v>5</v>
      </c>
      <c r="I17" s="7">
        <f t="shared" si="0"/>
        <v>1</v>
      </c>
      <c r="J17" s="7">
        <f t="shared" si="1"/>
        <v>1</v>
      </c>
      <c r="K17" s="7" t="str">
        <f t="shared" si="2"/>
        <v/>
      </c>
      <c r="L17" s="7">
        <f t="shared" si="6"/>
        <v>1</v>
      </c>
      <c r="M17" s="7">
        <f t="shared" si="3"/>
        <v>3</v>
      </c>
      <c r="N17" s="7" t="str">
        <f t="shared" si="4"/>
        <v>مستحق</v>
      </c>
      <c r="O17" s="7">
        <f t="shared" si="5"/>
        <v>300</v>
      </c>
    </row>
    <row r="18" spans="1:15" x14ac:dyDescent="0.2">
      <c r="A18" s="7" t="s">
        <v>45</v>
      </c>
      <c r="B18" s="7" t="s">
        <v>4</v>
      </c>
      <c r="C18" s="7">
        <v>5</v>
      </c>
      <c r="D18" s="7">
        <v>1</v>
      </c>
      <c r="E18" s="7">
        <v>3</v>
      </c>
      <c r="F18" s="7">
        <v>1</v>
      </c>
      <c r="G18" s="7" t="s">
        <v>5</v>
      </c>
      <c r="H18" s="7" t="s">
        <v>5</v>
      </c>
      <c r="I18" s="7">
        <f t="shared" si="0"/>
        <v>1</v>
      </c>
      <c r="J18" s="7">
        <f t="shared" si="1"/>
        <v>1</v>
      </c>
      <c r="K18" s="7" t="str">
        <f t="shared" si="2"/>
        <v/>
      </c>
      <c r="L18" s="7">
        <f t="shared" si="6"/>
        <v>1</v>
      </c>
      <c r="M18" s="7">
        <f t="shared" si="3"/>
        <v>3</v>
      </c>
      <c r="N18" s="7" t="str">
        <f t="shared" si="4"/>
        <v>مستحق</v>
      </c>
      <c r="O18" s="7">
        <f t="shared" si="5"/>
        <v>300</v>
      </c>
    </row>
    <row r="19" spans="1:15" x14ac:dyDescent="0.2">
      <c r="A19" s="7" t="s">
        <v>46</v>
      </c>
      <c r="B19" s="7" t="s">
        <v>7</v>
      </c>
      <c r="C19" s="7">
        <v>4</v>
      </c>
      <c r="D19" s="7">
        <v>3</v>
      </c>
      <c r="E19" s="7">
        <v>0</v>
      </c>
      <c r="F19" s="7">
        <v>1</v>
      </c>
      <c r="G19" s="7" t="s">
        <v>5</v>
      </c>
      <c r="H19" s="7" t="s">
        <v>5</v>
      </c>
      <c r="I19" s="7">
        <f t="shared" si="0"/>
        <v>1</v>
      </c>
      <c r="J19" s="7">
        <f t="shared" si="1"/>
        <v>1</v>
      </c>
      <c r="K19" s="7" t="str">
        <f t="shared" si="2"/>
        <v/>
      </c>
      <c r="L19" s="7">
        <f t="shared" si="6"/>
        <v>1</v>
      </c>
      <c r="M19" s="7">
        <f t="shared" si="3"/>
        <v>3</v>
      </c>
      <c r="N19" s="7" t="str">
        <f t="shared" si="4"/>
        <v>مستحق</v>
      </c>
      <c r="O19" s="7">
        <f t="shared" si="5"/>
        <v>300</v>
      </c>
    </row>
    <row r="20" spans="1:15" x14ac:dyDescent="0.2">
      <c r="A20" s="7" t="s">
        <v>48</v>
      </c>
      <c r="B20" s="7" t="s">
        <v>4</v>
      </c>
      <c r="C20" s="7">
        <v>7</v>
      </c>
      <c r="D20" s="7">
        <v>3</v>
      </c>
      <c r="E20" s="7">
        <v>2</v>
      </c>
      <c r="F20" s="7">
        <v>2</v>
      </c>
      <c r="G20" s="7" t="s">
        <v>6</v>
      </c>
      <c r="H20" s="7" t="s">
        <v>6</v>
      </c>
      <c r="I20" s="7">
        <f t="shared" si="0"/>
        <v>1</v>
      </c>
      <c r="J20" s="7">
        <f t="shared" si="1"/>
        <v>1</v>
      </c>
      <c r="K20" s="7">
        <f t="shared" si="2"/>
        <v>1</v>
      </c>
      <c r="L20" s="7" t="str">
        <f t="shared" si="6"/>
        <v/>
      </c>
      <c r="M20" s="7">
        <f t="shared" si="3"/>
        <v>3</v>
      </c>
      <c r="N20" s="7" t="str">
        <f t="shared" si="4"/>
        <v>مستحق</v>
      </c>
      <c r="O20" s="7">
        <f t="shared" si="5"/>
        <v>300</v>
      </c>
    </row>
    <row r="21" spans="1:15" x14ac:dyDescent="0.2">
      <c r="A21" s="7" t="s">
        <v>53</v>
      </c>
      <c r="B21" s="7" t="s">
        <v>4</v>
      </c>
      <c r="C21" s="7">
        <v>5</v>
      </c>
      <c r="D21" s="7">
        <v>2</v>
      </c>
      <c r="E21" s="7">
        <v>3</v>
      </c>
      <c r="F21" s="7">
        <v>0</v>
      </c>
      <c r="G21" s="7" t="s">
        <v>5</v>
      </c>
      <c r="H21" s="7" t="s">
        <v>5</v>
      </c>
      <c r="I21" s="7">
        <f t="shared" si="0"/>
        <v>1</v>
      </c>
      <c r="J21" s="7">
        <f t="shared" si="1"/>
        <v>1</v>
      </c>
      <c r="K21" s="7" t="str">
        <f t="shared" si="2"/>
        <v/>
      </c>
      <c r="L21" s="7">
        <f t="shared" si="6"/>
        <v>1</v>
      </c>
      <c r="M21" s="7">
        <f t="shared" si="3"/>
        <v>3</v>
      </c>
      <c r="N21" s="7" t="str">
        <f t="shared" si="4"/>
        <v>مستحق</v>
      </c>
      <c r="O21" s="7">
        <f t="shared" si="5"/>
        <v>300</v>
      </c>
    </row>
    <row r="22" spans="1:15" x14ac:dyDescent="0.2">
      <c r="A22" s="7" t="s">
        <v>57</v>
      </c>
      <c r="B22" s="7" t="s">
        <v>4</v>
      </c>
      <c r="C22" s="7">
        <v>6</v>
      </c>
      <c r="D22" s="7">
        <v>3</v>
      </c>
      <c r="E22" s="7">
        <v>0</v>
      </c>
      <c r="F22" s="7">
        <v>3</v>
      </c>
      <c r="G22" s="7" t="s">
        <v>5</v>
      </c>
      <c r="H22" s="7" t="s">
        <v>5</v>
      </c>
      <c r="I22" s="7">
        <f t="shared" si="0"/>
        <v>1</v>
      </c>
      <c r="J22" s="7">
        <f t="shared" si="1"/>
        <v>1</v>
      </c>
      <c r="K22" s="7" t="str">
        <f t="shared" si="2"/>
        <v/>
      </c>
      <c r="L22" s="7">
        <f t="shared" si="6"/>
        <v>1</v>
      </c>
      <c r="M22" s="7">
        <f t="shared" si="3"/>
        <v>3</v>
      </c>
      <c r="N22" s="7" t="str">
        <f t="shared" si="4"/>
        <v>مستحق</v>
      </c>
      <c r="O22" s="7">
        <f t="shared" si="5"/>
        <v>300</v>
      </c>
    </row>
    <row r="23" spans="1:15" x14ac:dyDescent="0.2">
      <c r="A23" s="7" t="s">
        <v>60</v>
      </c>
      <c r="B23" s="7" t="s">
        <v>4</v>
      </c>
      <c r="C23" s="7">
        <v>9</v>
      </c>
      <c r="D23" s="7">
        <v>3</v>
      </c>
      <c r="E23" s="7">
        <v>2</v>
      </c>
      <c r="F23" s="7">
        <v>4</v>
      </c>
      <c r="G23" s="7" t="s">
        <v>5</v>
      </c>
      <c r="H23" s="7" t="s">
        <v>5</v>
      </c>
      <c r="I23" s="7">
        <f t="shared" si="0"/>
        <v>1</v>
      </c>
      <c r="J23" s="7">
        <f t="shared" si="1"/>
        <v>1</v>
      </c>
      <c r="K23" s="7" t="str">
        <f t="shared" si="2"/>
        <v/>
      </c>
      <c r="L23" s="7">
        <f t="shared" si="6"/>
        <v>1</v>
      </c>
      <c r="M23" s="7">
        <f t="shared" si="3"/>
        <v>3</v>
      </c>
      <c r="N23" s="7" t="str">
        <f t="shared" si="4"/>
        <v>مستحق</v>
      </c>
      <c r="O23" s="7">
        <f t="shared" si="5"/>
        <v>300</v>
      </c>
    </row>
    <row r="24" spans="1:15" x14ac:dyDescent="0.2">
      <c r="A24" s="7" t="s">
        <v>71</v>
      </c>
      <c r="B24" s="7" t="s">
        <v>7</v>
      </c>
      <c r="C24" s="7">
        <v>4</v>
      </c>
      <c r="D24" s="7">
        <v>3</v>
      </c>
      <c r="E24" s="7">
        <v>0</v>
      </c>
      <c r="F24" s="7">
        <v>1</v>
      </c>
      <c r="G24" s="7" t="s">
        <v>5</v>
      </c>
      <c r="H24" s="7" t="s">
        <v>5</v>
      </c>
      <c r="I24" s="7">
        <f t="shared" si="0"/>
        <v>1</v>
      </c>
      <c r="J24" s="7">
        <f t="shared" si="1"/>
        <v>1</v>
      </c>
      <c r="K24" s="7" t="str">
        <f t="shared" si="2"/>
        <v/>
      </c>
      <c r="L24" s="7">
        <f t="shared" si="6"/>
        <v>1</v>
      </c>
      <c r="M24" s="7">
        <f t="shared" si="3"/>
        <v>3</v>
      </c>
      <c r="N24" s="7" t="str">
        <f t="shared" si="4"/>
        <v>مستحق</v>
      </c>
      <c r="O24" s="7">
        <f t="shared" si="5"/>
        <v>300</v>
      </c>
    </row>
    <row r="25" spans="1:15" x14ac:dyDescent="0.2">
      <c r="A25" s="7" t="s">
        <v>72</v>
      </c>
      <c r="B25" s="7" t="s">
        <v>4</v>
      </c>
      <c r="C25" s="7">
        <v>11</v>
      </c>
      <c r="D25" s="7">
        <v>3</v>
      </c>
      <c r="E25" s="7">
        <v>3</v>
      </c>
      <c r="F25" s="7">
        <v>5</v>
      </c>
      <c r="G25" s="7" t="s">
        <v>5</v>
      </c>
      <c r="H25" s="7" t="s">
        <v>5</v>
      </c>
      <c r="I25" s="7">
        <f t="shared" si="0"/>
        <v>1</v>
      </c>
      <c r="J25" s="7">
        <f t="shared" si="1"/>
        <v>1</v>
      </c>
      <c r="K25" s="7" t="str">
        <f t="shared" si="2"/>
        <v/>
      </c>
      <c r="L25" s="7">
        <f t="shared" si="6"/>
        <v>1</v>
      </c>
      <c r="M25" s="7">
        <f t="shared" si="3"/>
        <v>3</v>
      </c>
      <c r="N25" s="7" t="str">
        <f t="shared" si="4"/>
        <v>مستحق</v>
      </c>
      <c r="O25" s="7">
        <f t="shared" si="5"/>
        <v>300</v>
      </c>
    </row>
    <row r="26" spans="1:15" x14ac:dyDescent="0.2">
      <c r="A26" s="7" t="s">
        <v>73</v>
      </c>
      <c r="B26" s="7" t="s">
        <v>7</v>
      </c>
      <c r="C26" s="7">
        <v>9</v>
      </c>
      <c r="D26" s="7">
        <v>1</v>
      </c>
      <c r="E26" s="7">
        <v>3</v>
      </c>
      <c r="F26" s="7">
        <v>5</v>
      </c>
      <c r="G26" s="7" t="s">
        <v>5</v>
      </c>
      <c r="H26" s="7" t="s">
        <v>5</v>
      </c>
      <c r="I26" s="7">
        <f t="shared" si="0"/>
        <v>1</v>
      </c>
      <c r="J26" s="7">
        <f t="shared" si="1"/>
        <v>1</v>
      </c>
      <c r="K26" s="7" t="str">
        <f t="shared" si="2"/>
        <v/>
      </c>
      <c r="L26" s="7">
        <f t="shared" si="6"/>
        <v>1</v>
      </c>
      <c r="M26" s="7">
        <f t="shared" si="3"/>
        <v>3</v>
      </c>
      <c r="N26" s="7" t="str">
        <f t="shared" si="4"/>
        <v>مستحق</v>
      </c>
      <c r="O26" s="7">
        <f t="shared" si="5"/>
        <v>300</v>
      </c>
    </row>
    <row r="27" spans="1:15" x14ac:dyDescent="0.2">
      <c r="A27" s="7" t="s">
        <v>16</v>
      </c>
      <c r="B27" s="7" t="s">
        <v>4</v>
      </c>
      <c r="C27" s="7">
        <v>4</v>
      </c>
      <c r="D27" s="7">
        <v>0</v>
      </c>
      <c r="E27" s="7">
        <v>0</v>
      </c>
      <c r="F27" s="7">
        <v>4</v>
      </c>
      <c r="G27" s="7" t="s">
        <v>5</v>
      </c>
      <c r="H27" s="7" t="s">
        <v>5</v>
      </c>
      <c r="I27" s="7">
        <f t="shared" si="0"/>
        <v>1</v>
      </c>
      <c r="J27" s="7" t="str">
        <f t="shared" si="1"/>
        <v/>
      </c>
      <c r="K27" s="7" t="str">
        <f t="shared" si="2"/>
        <v/>
      </c>
      <c r="L27" s="7">
        <f t="shared" si="6"/>
        <v>1</v>
      </c>
      <c r="M27" s="7">
        <f t="shared" si="3"/>
        <v>2</v>
      </c>
      <c r="N27" s="7" t="str">
        <f t="shared" si="4"/>
        <v>غير مستحق</v>
      </c>
      <c r="O27" s="7" t="str">
        <f t="shared" si="5"/>
        <v/>
      </c>
    </row>
    <row r="28" spans="1:15" x14ac:dyDescent="0.2">
      <c r="A28" s="7" t="s">
        <v>19</v>
      </c>
      <c r="B28" s="7" t="s">
        <v>4</v>
      </c>
      <c r="C28" s="7">
        <v>6</v>
      </c>
      <c r="D28" s="7">
        <v>1</v>
      </c>
      <c r="E28" s="7">
        <v>2</v>
      </c>
      <c r="F28" s="7">
        <v>3</v>
      </c>
      <c r="G28" s="7" t="s">
        <v>5</v>
      </c>
      <c r="H28" s="7" t="s">
        <v>6</v>
      </c>
      <c r="I28" s="7">
        <f t="shared" si="0"/>
        <v>1</v>
      </c>
      <c r="J28" s="7">
        <f t="shared" si="1"/>
        <v>1</v>
      </c>
      <c r="K28" s="7" t="str">
        <f t="shared" si="2"/>
        <v/>
      </c>
      <c r="L28" s="7" t="str">
        <f t="shared" si="6"/>
        <v/>
      </c>
      <c r="M28" s="7">
        <f t="shared" si="3"/>
        <v>2</v>
      </c>
      <c r="N28" s="7" t="str">
        <f t="shared" si="4"/>
        <v>غير مستحق</v>
      </c>
      <c r="O28" s="7" t="str">
        <f t="shared" si="5"/>
        <v/>
      </c>
    </row>
    <row r="29" spans="1:15" x14ac:dyDescent="0.2">
      <c r="A29" s="7" t="s">
        <v>21</v>
      </c>
      <c r="B29" s="7" t="s">
        <v>4</v>
      </c>
      <c r="C29" s="7">
        <v>4</v>
      </c>
      <c r="D29" s="7">
        <v>1</v>
      </c>
      <c r="E29" s="7">
        <v>0</v>
      </c>
      <c r="F29" s="7">
        <v>3</v>
      </c>
      <c r="G29" s="7" t="s">
        <v>5</v>
      </c>
      <c r="H29" s="7" t="s">
        <v>5</v>
      </c>
      <c r="I29" s="7">
        <f t="shared" si="0"/>
        <v>1</v>
      </c>
      <c r="J29" s="7" t="str">
        <f t="shared" si="1"/>
        <v/>
      </c>
      <c r="K29" s="7" t="str">
        <f t="shared" si="2"/>
        <v/>
      </c>
      <c r="L29" s="7">
        <f t="shared" si="6"/>
        <v>1</v>
      </c>
      <c r="M29" s="7">
        <f t="shared" si="3"/>
        <v>2</v>
      </c>
      <c r="N29" s="7" t="str">
        <f t="shared" si="4"/>
        <v>غير مستحق</v>
      </c>
      <c r="O29" s="7" t="str">
        <f t="shared" si="5"/>
        <v/>
      </c>
    </row>
    <row r="30" spans="1:15" x14ac:dyDescent="0.2">
      <c r="A30" s="7" t="s">
        <v>22</v>
      </c>
      <c r="B30" s="7" t="s">
        <v>7</v>
      </c>
      <c r="C30" s="7">
        <v>5</v>
      </c>
      <c r="D30" s="7">
        <v>3</v>
      </c>
      <c r="E30" s="7">
        <v>1</v>
      </c>
      <c r="F30" s="7">
        <v>1</v>
      </c>
      <c r="G30" s="7" t="s">
        <v>5</v>
      </c>
      <c r="H30" s="7" t="s">
        <v>6</v>
      </c>
      <c r="I30" s="7">
        <f t="shared" si="0"/>
        <v>1</v>
      </c>
      <c r="J30" s="7">
        <f t="shared" si="1"/>
        <v>1</v>
      </c>
      <c r="K30" s="7" t="str">
        <f t="shared" si="2"/>
        <v/>
      </c>
      <c r="L30" s="7" t="str">
        <f t="shared" si="6"/>
        <v/>
      </c>
      <c r="M30" s="7">
        <f t="shared" si="3"/>
        <v>2</v>
      </c>
      <c r="N30" s="7" t="str">
        <f t="shared" si="4"/>
        <v>غير مستحق</v>
      </c>
      <c r="O30" s="7" t="str">
        <f t="shared" si="5"/>
        <v/>
      </c>
    </row>
    <row r="31" spans="1:15" x14ac:dyDescent="0.2">
      <c r="A31" s="7" t="s">
        <v>24</v>
      </c>
      <c r="B31" s="7" t="s">
        <v>4</v>
      </c>
      <c r="C31" s="7">
        <v>6</v>
      </c>
      <c r="D31" s="7">
        <v>0</v>
      </c>
      <c r="E31" s="7">
        <v>1</v>
      </c>
      <c r="F31" s="7">
        <v>5</v>
      </c>
      <c r="G31" s="7" t="s">
        <v>6</v>
      </c>
      <c r="H31" s="7" t="s">
        <v>6</v>
      </c>
      <c r="I31" s="7">
        <f t="shared" si="0"/>
        <v>1</v>
      </c>
      <c r="J31" s="7" t="str">
        <f t="shared" si="1"/>
        <v/>
      </c>
      <c r="K31" s="7">
        <f t="shared" si="2"/>
        <v>1</v>
      </c>
      <c r="L31" s="7" t="str">
        <f t="shared" si="6"/>
        <v/>
      </c>
      <c r="M31" s="7">
        <f t="shared" si="3"/>
        <v>2</v>
      </c>
      <c r="N31" s="7" t="str">
        <f t="shared" si="4"/>
        <v>غير مستحق</v>
      </c>
      <c r="O31" s="7" t="str">
        <f t="shared" si="5"/>
        <v/>
      </c>
    </row>
    <row r="32" spans="1:15" x14ac:dyDescent="0.2">
      <c r="A32" s="7" t="s">
        <v>26</v>
      </c>
      <c r="B32" s="7" t="s">
        <v>4</v>
      </c>
      <c r="C32" s="7">
        <v>2</v>
      </c>
      <c r="D32" s="7">
        <v>1</v>
      </c>
      <c r="E32" s="7">
        <v>0</v>
      </c>
      <c r="F32" s="7">
        <v>1</v>
      </c>
      <c r="G32" s="7" t="s">
        <v>6</v>
      </c>
      <c r="H32" s="7" t="s">
        <v>5</v>
      </c>
      <c r="I32" s="7" t="str">
        <f t="shared" si="0"/>
        <v/>
      </c>
      <c r="J32" s="7" t="str">
        <f t="shared" si="1"/>
        <v/>
      </c>
      <c r="K32" s="7">
        <f t="shared" si="2"/>
        <v>1</v>
      </c>
      <c r="L32" s="7">
        <f t="shared" si="6"/>
        <v>1</v>
      </c>
      <c r="M32" s="7">
        <f t="shared" si="3"/>
        <v>2</v>
      </c>
      <c r="N32" s="7" t="str">
        <f t="shared" si="4"/>
        <v>غير مستحق</v>
      </c>
      <c r="O32" s="7" t="str">
        <f t="shared" si="5"/>
        <v/>
      </c>
    </row>
    <row r="33" spans="1:15" x14ac:dyDescent="0.2">
      <c r="A33" s="7" t="s">
        <v>35</v>
      </c>
      <c r="B33" s="7" t="s">
        <v>4</v>
      </c>
      <c r="C33" s="7">
        <v>5</v>
      </c>
      <c r="D33" s="7">
        <v>1</v>
      </c>
      <c r="E33" s="7">
        <v>2</v>
      </c>
      <c r="F33" s="7">
        <v>2</v>
      </c>
      <c r="G33" s="7" t="s">
        <v>5</v>
      </c>
      <c r="H33" s="7" t="s">
        <v>6</v>
      </c>
      <c r="I33" s="7">
        <f t="shared" si="0"/>
        <v>1</v>
      </c>
      <c r="J33" s="7">
        <f t="shared" si="1"/>
        <v>1</v>
      </c>
      <c r="K33" s="7" t="str">
        <f t="shared" si="2"/>
        <v/>
      </c>
      <c r="L33" s="7" t="str">
        <f t="shared" si="6"/>
        <v/>
      </c>
      <c r="M33" s="7">
        <f t="shared" si="3"/>
        <v>2</v>
      </c>
      <c r="N33" s="7" t="str">
        <f t="shared" si="4"/>
        <v>غير مستحق</v>
      </c>
      <c r="O33" s="7" t="str">
        <f t="shared" si="5"/>
        <v/>
      </c>
    </row>
    <row r="34" spans="1:15" x14ac:dyDescent="0.2">
      <c r="A34" s="7" t="s">
        <v>36</v>
      </c>
      <c r="B34" s="7" t="s">
        <v>4</v>
      </c>
      <c r="C34" s="7">
        <v>5</v>
      </c>
      <c r="D34" s="7">
        <v>1</v>
      </c>
      <c r="E34" s="7">
        <v>0</v>
      </c>
      <c r="F34" s="7">
        <v>4</v>
      </c>
      <c r="G34" s="7" t="s">
        <v>6</v>
      </c>
      <c r="H34" s="7" t="s">
        <v>6</v>
      </c>
      <c r="I34" s="7">
        <f t="shared" ref="I34:I59" si="7">IF(C34&gt;=4,1,"")</f>
        <v>1</v>
      </c>
      <c r="J34" s="7" t="str">
        <f t="shared" ref="J34:J59" si="8">IF(D34+E34&gt;2,1,"")</f>
        <v/>
      </c>
      <c r="K34" s="7">
        <f t="shared" ref="K34:K59" si="9">IF(G34="نعم",1,"")</f>
        <v>1</v>
      </c>
      <c r="L34" s="7" t="str">
        <f t="shared" si="6"/>
        <v/>
      </c>
      <c r="M34" s="7">
        <f t="shared" ref="M34:M59" si="10">SUM(I34:L34)</f>
        <v>2</v>
      </c>
      <c r="N34" s="7" t="str">
        <f t="shared" ref="N34:N59" si="11">IF(M34&gt;=3,"مستحق","غير مستحق")</f>
        <v>غير مستحق</v>
      </c>
      <c r="O34" s="7" t="str">
        <f t="shared" ref="O34:O59" si="12">IF(N34="مستحق",M34*$Q$2,"")</f>
        <v/>
      </c>
    </row>
    <row r="35" spans="1:15" x14ac:dyDescent="0.2">
      <c r="A35" s="7" t="s">
        <v>37</v>
      </c>
      <c r="B35" s="7" t="s">
        <v>4</v>
      </c>
      <c r="C35" s="7">
        <v>6</v>
      </c>
      <c r="D35" s="7">
        <v>2</v>
      </c>
      <c r="E35" s="7">
        <v>0</v>
      </c>
      <c r="F35" s="7">
        <v>4</v>
      </c>
      <c r="G35" s="7" t="s">
        <v>5</v>
      </c>
      <c r="H35" s="7" t="s">
        <v>5</v>
      </c>
      <c r="I35" s="7">
        <f t="shared" si="7"/>
        <v>1</v>
      </c>
      <c r="J35" s="7" t="str">
        <f t="shared" si="8"/>
        <v/>
      </c>
      <c r="K35" s="7" t="str">
        <f t="shared" si="9"/>
        <v/>
      </c>
      <c r="L35" s="7">
        <f t="shared" si="6"/>
        <v>1</v>
      </c>
      <c r="M35" s="7">
        <f t="shared" si="10"/>
        <v>2</v>
      </c>
      <c r="N35" s="7" t="str">
        <f t="shared" si="11"/>
        <v>غير مستحق</v>
      </c>
      <c r="O35" s="7" t="str">
        <f t="shared" si="12"/>
        <v/>
      </c>
    </row>
    <row r="36" spans="1:15" x14ac:dyDescent="0.2">
      <c r="A36" s="7" t="s">
        <v>40</v>
      </c>
      <c r="B36" s="7" t="s">
        <v>7</v>
      </c>
      <c r="C36" s="7">
        <v>5</v>
      </c>
      <c r="D36" s="7">
        <v>2</v>
      </c>
      <c r="E36" s="7">
        <v>1</v>
      </c>
      <c r="F36" s="7">
        <v>2</v>
      </c>
      <c r="G36" s="7" t="s">
        <v>5</v>
      </c>
      <c r="H36" s="7" t="s">
        <v>6</v>
      </c>
      <c r="I36" s="7">
        <f t="shared" si="7"/>
        <v>1</v>
      </c>
      <c r="J36" s="7">
        <f t="shared" si="8"/>
        <v>1</v>
      </c>
      <c r="K36" s="7" t="str">
        <f t="shared" si="9"/>
        <v/>
      </c>
      <c r="L36" s="7" t="str">
        <f t="shared" si="6"/>
        <v/>
      </c>
      <c r="M36" s="7">
        <f t="shared" si="10"/>
        <v>2</v>
      </c>
      <c r="N36" s="7" t="str">
        <f t="shared" si="11"/>
        <v>غير مستحق</v>
      </c>
      <c r="O36" s="7" t="str">
        <f t="shared" si="12"/>
        <v/>
      </c>
    </row>
    <row r="37" spans="1:15" x14ac:dyDescent="0.2">
      <c r="A37" s="7" t="s">
        <v>41</v>
      </c>
      <c r="B37" s="7" t="s">
        <v>4</v>
      </c>
      <c r="C37" s="7">
        <v>9</v>
      </c>
      <c r="D37" s="7">
        <v>2</v>
      </c>
      <c r="E37" s="7">
        <v>3</v>
      </c>
      <c r="F37" s="7">
        <v>4</v>
      </c>
      <c r="G37" s="7" t="s">
        <v>5</v>
      </c>
      <c r="H37" s="7" t="s">
        <v>6</v>
      </c>
      <c r="I37" s="7">
        <f t="shared" si="7"/>
        <v>1</v>
      </c>
      <c r="J37" s="7">
        <f t="shared" si="8"/>
        <v>1</v>
      </c>
      <c r="K37" s="7" t="str">
        <f t="shared" si="9"/>
        <v/>
      </c>
      <c r="L37" s="7" t="str">
        <f t="shared" si="6"/>
        <v/>
      </c>
      <c r="M37" s="7">
        <f t="shared" si="10"/>
        <v>2</v>
      </c>
      <c r="N37" s="7" t="str">
        <f t="shared" si="11"/>
        <v>غير مستحق</v>
      </c>
      <c r="O37" s="7" t="str">
        <f t="shared" si="12"/>
        <v/>
      </c>
    </row>
    <row r="38" spans="1:15" x14ac:dyDescent="0.2">
      <c r="A38" s="7" t="s">
        <v>44</v>
      </c>
      <c r="B38" s="7" t="s">
        <v>4</v>
      </c>
      <c r="C38" s="7">
        <v>6</v>
      </c>
      <c r="D38" s="7">
        <v>3</v>
      </c>
      <c r="E38" s="7">
        <v>2</v>
      </c>
      <c r="F38" s="7">
        <v>1</v>
      </c>
      <c r="G38" s="7" t="s">
        <v>5</v>
      </c>
      <c r="H38" s="7" t="s">
        <v>6</v>
      </c>
      <c r="I38" s="7">
        <f t="shared" si="7"/>
        <v>1</v>
      </c>
      <c r="J38" s="7">
        <f t="shared" si="8"/>
        <v>1</v>
      </c>
      <c r="K38" s="7" t="str">
        <f t="shared" si="9"/>
        <v/>
      </c>
      <c r="L38" s="7" t="str">
        <f t="shared" si="6"/>
        <v/>
      </c>
      <c r="M38" s="7">
        <f t="shared" si="10"/>
        <v>2</v>
      </c>
      <c r="N38" s="7" t="str">
        <f t="shared" si="11"/>
        <v>غير مستحق</v>
      </c>
      <c r="O38" s="7" t="str">
        <f t="shared" si="12"/>
        <v/>
      </c>
    </row>
    <row r="39" spans="1:15" x14ac:dyDescent="0.2">
      <c r="A39" s="7" t="s">
        <v>47</v>
      </c>
      <c r="B39" s="7" t="s">
        <v>4</v>
      </c>
      <c r="C39" s="7">
        <v>4</v>
      </c>
      <c r="D39" s="7">
        <v>0</v>
      </c>
      <c r="E39" s="7">
        <v>3</v>
      </c>
      <c r="F39" s="7">
        <v>1</v>
      </c>
      <c r="G39" s="7" t="s">
        <v>5</v>
      </c>
      <c r="H39" s="7" t="s">
        <v>6</v>
      </c>
      <c r="I39" s="7">
        <f t="shared" si="7"/>
        <v>1</v>
      </c>
      <c r="J39" s="7">
        <f t="shared" si="8"/>
        <v>1</v>
      </c>
      <c r="K39" s="7" t="str">
        <f t="shared" si="9"/>
        <v/>
      </c>
      <c r="L39" s="7" t="str">
        <f t="shared" si="6"/>
        <v/>
      </c>
      <c r="M39" s="7">
        <f t="shared" si="10"/>
        <v>2</v>
      </c>
      <c r="N39" s="7" t="str">
        <f t="shared" si="11"/>
        <v>غير مستحق</v>
      </c>
      <c r="O39" s="7" t="str">
        <f t="shared" si="12"/>
        <v/>
      </c>
    </row>
    <row r="40" spans="1:15" x14ac:dyDescent="0.2">
      <c r="A40" s="7" t="s">
        <v>51</v>
      </c>
      <c r="B40" s="7" t="s">
        <v>4</v>
      </c>
      <c r="C40" s="7">
        <v>4</v>
      </c>
      <c r="D40" s="7">
        <v>1</v>
      </c>
      <c r="E40" s="7">
        <v>1</v>
      </c>
      <c r="F40" s="7">
        <v>2</v>
      </c>
      <c r="G40" s="7" t="s">
        <v>6</v>
      </c>
      <c r="H40" s="7" t="s">
        <v>6</v>
      </c>
      <c r="I40" s="7">
        <f t="shared" si="7"/>
        <v>1</v>
      </c>
      <c r="J40" s="7" t="str">
        <f t="shared" si="8"/>
        <v/>
      </c>
      <c r="K40" s="7">
        <f t="shared" si="9"/>
        <v>1</v>
      </c>
      <c r="L40" s="7" t="str">
        <f t="shared" si="6"/>
        <v/>
      </c>
      <c r="M40" s="7">
        <f t="shared" si="10"/>
        <v>2</v>
      </c>
      <c r="N40" s="7" t="str">
        <f t="shared" si="11"/>
        <v>غير مستحق</v>
      </c>
      <c r="O40" s="7" t="str">
        <f t="shared" si="12"/>
        <v/>
      </c>
    </row>
    <row r="41" spans="1:15" x14ac:dyDescent="0.2">
      <c r="A41" s="7" t="s">
        <v>54</v>
      </c>
      <c r="B41" s="7" t="s">
        <v>4</v>
      </c>
      <c r="C41" s="7">
        <v>5</v>
      </c>
      <c r="D41" s="7">
        <v>0</v>
      </c>
      <c r="E41" s="7">
        <v>0</v>
      </c>
      <c r="F41" s="7">
        <v>5</v>
      </c>
      <c r="G41" s="7" t="s">
        <v>5</v>
      </c>
      <c r="H41" s="7" t="s">
        <v>5</v>
      </c>
      <c r="I41" s="7">
        <f t="shared" si="7"/>
        <v>1</v>
      </c>
      <c r="J41" s="7" t="str">
        <f t="shared" si="8"/>
        <v/>
      </c>
      <c r="K41" s="7" t="str">
        <f t="shared" si="9"/>
        <v/>
      </c>
      <c r="L41" s="7">
        <f t="shared" si="6"/>
        <v>1</v>
      </c>
      <c r="M41" s="7">
        <f t="shared" si="10"/>
        <v>2</v>
      </c>
      <c r="N41" s="7" t="str">
        <f t="shared" si="11"/>
        <v>غير مستحق</v>
      </c>
      <c r="O41" s="7" t="str">
        <f t="shared" si="12"/>
        <v/>
      </c>
    </row>
    <row r="42" spans="1:15" x14ac:dyDescent="0.2">
      <c r="A42" s="7" t="s">
        <v>58</v>
      </c>
      <c r="B42" s="7" t="s">
        <v>4</v>
      </c>
      <c r="C42" s="7">
        <v>6</v>
      </c>
      <c r="D42" s="7">
        <v>1</v>
      </c>
      <c r="E42" s="7">
        <v>0</v>
      </c>
      <c r="F42" s="7">
        <v>5</v>
      </c>
      <c r="G42" s="7" t="s">
        <v>5</v>
      </c>
      <c r="H42" s="7" t="s">
        <v>5</v>
      </c>
      <c r="I42" s="7">
        <f t="shared" si="7"/>
        <v>1</v>
      </c>
      <c r="J42" s="7" t="str">
        <f t="shared" si="8"/>
        <v/>
      </c>
      <c r="K42" s="7" t="str">
        <f t="shared" si="9"/>
        <v/>
      </c>
      <c r="L42" s="7">
        <f t="shared" si="6"/>
        <v>1</v>
      </c>
      <c r="M42" s="7">
        <f t="shared" si="10"/>
        <v>2</v>
      </c>
      <c r="N42" s="7" t="str">
        <f t="shared" si="11"/>
        <v>غير مستحق</v>
      </c>
      <c r="O42" s="7" t="str">
        <f t="shared" si="12"/>
        <v/>
      </c>
    </row>
    <row r="43" spans="1:15" x14ac:dyDescent="0.2">
      <c r="A43" s="7" t="s">
        <v>61</v>
      </c>
      <c r="B43" s="7" t="s">
        <v>4</v>
      </c>
      <c r="C43" s="7">
        <v>4</v>
      </c>
      <c r="D43" s="7">
        <v>3</v>
      </c>
      <c r="E43" s="7">
        <v>1</v>
      </c>
      <c r="F43" s="7">
        <v>0</v>
      </c>
      <c r="G43" s="7" t="s">
        <v>5</v>
      </c>
      <c r="H43" s="7" t="s">
        <v>6</v>
      </c>
      <c r="I43" s="7">
        <f t="shared" si="7"/>
        <v>1</v>
      </c>
      <c r="J43" s="7">
        <f t="shared" si="8"/>
        <v>1</v>
      </c>
      <c r="K43" s="7" t="str">
        <f t="shared" si="9"/>
        <v/>
      </c>
      <c r="L43" s="7" t="str">
        <f t="shared" si="6"/>
        <v/>
      </c>
      <c r="M43" s="7">
        <f t="shared" si="10"/>
        <v>2</v>
      </c>
      <c r="N43" s="7" t="str">
        <f t="shared" si="11"/>
        <v>غير مستحق</v>
      </c>
      <c r="O43" s="7" t="str">
        <f t="shared" si="12"/>
        <v/>
      </c>
    </row>
    <row r="44" spans="1:15" x14ac:dyDescent="0.2">
      <c r="A44" s="7" t="s">
        <v>63</v>
      </c>
      <c r="B44" s="7" t="s">
        <v>4</v>
      </c>
      <c r="C44" s="7">
        <v>7</v>
      </c>
      <c r="D44" s="7">
        <v>1</v>
      </c>
      <c r="E44" s="7">
        <v>1</v>
      </c>
      <c r="F44" s="7">
        <v>5</v>
      </c>
      <c r="G44" s="7" t="s">
        <v>6</v>
      </c>
      <c r="H44" s="7" t="s">
        <v>6</v>
      </c>
      <c r="I44" s="7">
        <f t="shared" si="7"/>
        <v>1</v>
      </c>
      <c r="J44" s="7" t="str">
        <f t="shared" si="8"/>
        <v/>
      </c>
      <c r="K44" s="7">
        <f t="shared" si="9"/>
        <v>1</v>
      </c>
      <c r="L44" s="7" t="str">
        <f t="shared" si="6"/>
        <v/>
      </c>
      <c r="M44" s="7">
        <f t="shared" si="10"/>
        <v>2</v>
      </c>
      <c r="N44" s="7" t="str">
        <f t="shared" si="11"/>
        <v>غير مستحق</v>
      </c>
      <c r="O44" s="7" t="str">
        <f t="shared" si="12"/>
        <v/>
      </c>
    </row>
    <row r="45" spans="1:15" x14ac:dyDescent="0.2">
      <c r="A45" s="7" t="s">
        <v>66</v>
      </c>
      <c r="B45" s="7" t="s">
        <v>4</v>
      </c>
      <c r="C45" s="7">
        <v>3</v>
      </c>
      <c r="D45" s="7">
        <v>1</v>
      </c>
      <c r="E45" s="7">
        <v>2</v>
      </c>
      <c r="F45" s="7">
        <v>0</v>
      </c>
      <c r="G45" s="7" t="s">
        <v>5</v>
      </c>
      <c r="H45" s="7" t="s">
        <v>5</v>
      </c>
      <c r="I45" s="7" t="str">
        <f t="shared" si="7"/>
        <v/>
      </c>
      <c r="J45" s="7">
        <f t="shared" si="8"/>
        <v>1</v>
      </c>
      <c r="K45" s="7" t="str">
        <f t="shared" si="9"/>
        <v/>
      </c>
      <c r="L45" s="7">
        <f t="shared" si="6"/>
        <v>1</v>
      </c>
      <c r="M45" s="7">
        <f t="shared" si="10"/>
        <v>2</v>
      </c>
      <c r="N45" s="7" t="str">
        <f t="shared" si="11"/>
        <v>غير مستحق</v>
      </c>
      <c r="O45" s="7" t="str">
        <f t="shared" si="12"/>
        <v/>
      </c>
    </row>
    <row r="46" spans="1:15" x14ac:dyDescent="0.2">
      <c r="A46" s="7" t="s">
        <v>18</v>
      </c>
      <c r="B46" s="7" t="s">
        <v>4</v>
      </c>
      <c r="C46" s="7">
        <v>7</v>
      </c>
      <c r="D46" s="7">
        <v>2</v>
      </c>
      <c r="E46" s="7">
        <v>0</v>
      </c>
      <c r="F46" s="7">
        <v>5</v>
      </c>
      <c r="G46" s="7" t="s">
        <v>5</v>
      </c>
      <c r="H46" s="7" t="s">
        <v>6</v>
      </c>
      <c r="I46" s="7">
        <f t="shared" si="7"/>
        <v>1</v>
      </c>
      <c r="J46" s="7" t="str">
        <f t="shared" si="8"/>
        <v/>
      </c>
      <c r="K46" s="7" t="str">
        <f t="shared" si="9"/>
        <v/>
      </c>
      <c r="L46" s="7" t="str">
        <f t="shared" si="6"/>
        <v/>
      </c>
      <c r="M46" s="7">
        <f t="shared" si="10"/>
        <v>1</v>
      </c>
      <c r="N46" s="7" t="str">
        <f t="shared" si="11"/>
        <v>غير مستحق</v>
      </c>
      <c r="O46" s="7" t="str">
        <f t="shared" si="12"/>
        <v/>
      </c>
    </row>
    <row r="47" spans="1:15" x14ac:dyDescent="0.2">
      <c r="A47" s="7" t="s">
        <v>20</v>
      </c>
      <c r="B47" s="7" t="s">
        <v>4</v>
      </c>
      <c r="C47" s="7">
        <v>0</v>
      </c>
      <c r="D47" s="7">
        <v>0</v>
      </c>
      <c r="E47" s="7">
        <v>0</v>
      </c>
      <c r="F47" s="7">
        <v>0</v>
      </c>
      <c r="G47" s="7" t="s">
        <v>5</v>
      </c>
      <c r="H47" s="7" t="s">
        <v>5</v>
      </c>
      <c r="I47" s="7" t="str">
        <f t="shared" si="7"/>
        <v/>
      </c>
      <c r="J47" s="7" t="str">
        <f t="shared" si="8"/>
        <v/>
      </c>
      <c r="K47" s="7" t="str">
        <f t="shared" si="9"/>
        <v/>
      </c>
      <c r="L47" s="7">
        <f t="shared" si="6"/>
        <v>1</v>
      </c>
      <c r="M47" s="7">
        <f t="shared" si="10"/>
        <v>1</v>
      </c>
      <c r="N47" s="7" t="str">
        <f t="shared" si="11"/>
        <v>غير مستحق</v>
      </c>
      <c r="O47" s="7" t="str">
        <f t="shared" si="12"/>
        <v/>
      </c>
    </row>
    <row r="48" spans="1:15" x14ac:dyDescent="0.2">
      <c r="A48" s="7" t="s">
        <v>28</v>
      </c>
      <c r="B48" s="7" t="s">
        <v>4</v>
      </c>
      <c r="C48" s="7">
        <v>3</v>
      </c>
      <c r="D48" s="7">
        <v>2</v>
      </c>
      <c r="E48" s="7">
        <v>1</v>
      </c>
      <c r="F48" s="7">
        <v>0</v>
      </c>
      <c r="G48" s="7" t="s">
        <v>5</v>
      </c>
      <c r="H48" s="7" t="s">
        <v>6</v>
      </c>
      <c r="I48" s="7" t="str">
        <f t="shared" si="7"/>
        <v/>
      </c>
      <c r="J48" s="7">
        <f t="shared" si="8"/>
        <v>1</v>
      </c>
      <c r="K48" s="7" t="str">
        <f t="shared" si="9"/>
        <v/>
      </c>
      <c r="L48" s="7" t="str">
        <f t="shared" si="6"/>
        <v/>
      </c>
      <c r="M48" s="7">
        <f t="shared" si="10"/>
        <v>1</v>
      </c>
      <c r="N48" s="7" t="str">
        <f t="shared" si="11"/>
        <v>غير مستحق</v>
      </c>
      <c r="O48" s="7" t="str">
        <f t="shared" si="12"/>
        <v/>
      </c>
    </row>
    <row r="49" spans="1:15" x14ac:dyDescent="0.2">
      <c r="A49" s="7" t="s">
        <v>43</v>
      </c>
      <c r="B49" s="7" t="s">
        <v>4</v>
      </c>
      <c r="C49" s="7">
        <v>2</v>
      </c>
      <c r="D49" s="7">
        <v>1</v>
      </c>
      <c r="E49" s="7">
        <v>1</v>
      </c>
      <c r="F49" s="7">
        <v>0</v>
      </c>
      <c r="G49" s="7" t="s">
        <v>5</v>
      </c>
      <c r="H49" s="7" t="s">
        <v>5</v>
      </c>
      <c r="I49" s="7" t="str">
        <f t="shared" si="7"/>
        <v/>
      </c>
      <c r="J49" s="7" t="str">
        <f t="shared" si="8"/>
        <v/>
      </c>
      <c r="K49" s="7" t="str">
        <f t="shared" si="9"/>
        <v/>
      </c>
      <c r="L49" s="7">
        <f t="shared" si="6"/>
        <v>1</v>
      </c>
      <c r="M49" s="7">
        <f t="shared" si="10"/>
        <v>1</v>
      </c>
      <c r="N49" s="7" t="str">
        <f t="shared" si="11"/>
        <v>غير مستحق</v>
      </c>
      <c r="O49" s="7" t="str">
        <f t="shared" si="12"/>
        <v/>
      </c>
    </row>
    <row r="50" spans="1:15" x14ac:dyDescent="0.2">
      <c r="A50" s="7" t="s">
        <v>50</v>
      </c>
      <c r="B50" s="7" t="s">
        <v>7</v>
      </c>
      <c r="C50" s="7">
        <v>3</v>
      </c>
      <c r="D50" s="7">
        <v>3</v>
      </c>
      <c r="E50" s="7">
        <v>0</v>
      </c>
      <c r="F50" s="7">
        <v>0</v>
      </c>
      <c r="G50" s="7" t="s">
        <v>5</v>
      </c>
      <c r="H50" s="7" t="s">
        <v>6</v>
      </c>
      <c r="I50" s="7" t="str">
        <f t="shared" si="7"/>
        <v/>
      </c>
      <c r="J50" s="7">
        <f t="shared" si="8"/>
        <v>1</v>
      </c>
      <c r="K50" s="7" t="str">
        <f t="shared" si="9"/>
        <v/>
      </c>
      <c r="L50" s="7" t="str">
        <f t="shared" si="6"/>
        <v/>
      </c>
      <c r="M50" s="7">
        <f t="shared" si="10"/>
        <v>1</v>
      </c>
      <c r="N50" s="7" t="str">
        <f t="shared" si="11"/>
        <v>غير مستحق</v>
      </c>
      <c r="O50" s="7" t="str">
        <f t="shared" si="12"/>
        <v/>
      </c>
    </row>
    <row r="51" spans="1:15" x14ac:dyDescent="0.2">
      <c r="A51" s="7" t="s">
        <v>52</v>
      </c>
      <c r="B51" s="7" t="s">
        <v>7</v>
      </c>
      <c r="C51" s="7">
        <v>1</v>
      </c>
      <c r="D51" s="7">
        <v>0</v>
      </c>
      <c r="E51" s="7">
        <v>1</v>
      </c>
      <c r="F51" s="7">
        <v>0</v>
      </c>
      <c r="G51" s="7" t="s">
        <v>5</v>
      </c>
      <c r="H51" s="7" t="s">
        <v>5</v>
      </c>
      <c r="I51" s="7" t="str">
        <f t="shared" si="7"/>
        <v/>
      </c>
      <c r="J51" s="7" t="str">
        <f t="shared" si="8"/>
        <v/>
      </c>
      <c r="K51" s="7" t="str">
        <f t="shared" si="9"/>
        <v/>
      </c>
      <c r="L51" s="7">
        <f t="shared" si="6"/>
        <v>1</v>
      </c>
      <c r="M51" s="7">
        <f t="shared" si="10"/>
        <v>1</v>
      </c>
      <c r="N51" s="7" t="str">
        <f t="shared" si="11"/>
        <v>غير مستحق</v>
      </c>
      <c r="O51" s="7" t="str">
        <f t="shared" si="12"/>
        <v/>
      </c>
    </row>
    <row r="52" spans="1:15" x14ac:dyDescent="0.2">
      <c r="A52" s="7" t="s">
        <v>56</v>
      </c>
      <c r="B52" s="7" t="s">
        <v>7</v>
      </c>
      <c r="C52" s="7">
        <v>3</v>
      </c>
      <c r="D52" s="7">
        <v>0</v>
      </c>
      <c r="E52" s="7">
        <v>2</v>
      </c>
      <c r="F52" s="7">
        <v>1</v>
      </c>
      <c r="G52" s="7" t="s">
        <v>5</v>
      </c>
      <c r="H52" s="7" t="s">
        <v>5</v>
      </c>
      <c r="I52" s="7" t="str">
        <f t="shared" si="7"/>
        <v/>
      </c>
      <c r="J52" s="7" t="str">
        <f t="shared" si="8"/>
        <v/>
      </c>
      <c r="K52" s="7" t="str">
        <f t="shared" si="9"/>
        <v/>
      </c>
      <c r="L52" s="7">
        <f t="shared" si="6"/>
        <v>1</v>
      </c>
      <c r="M52" s="7">
        <f t="shared" si="10"/>
        <v>1</v>
      </c>
      <c r="N52" s="7" t="str">
        <f t="shared" si="11"/>
        <v>غير مستحق</v>
      </c>
      <c r="O52" s="7" t="str">
        <f t="shared" si="12"/>
        <v/>
      </c>
    </row>
    <row r="53" spans="1:15" x14ac:dyDescent="0.2">
      <c r="A53" s="7" t="s">
        <v>59</v>
      </c>
      <c r="B53" s="7" t="s">
        <v>4</v>
      </c>
      <c r="C53" s="7">
        <v>3</v>
      </c>
      <c r="D53" s="7">
        <v>0</v>
      </c>
      <c r="E53" s="7">
        <v>3</v>
      </c>
      <c r="F53" s="7">
        <v>0</v>
      </c>
      <c r="G53" s="7" t="s">
        <v>5</v>
      </c>
      <c r="H53" s="7" t="s">
        <v>6</v>
      </c>
      <c r="I53" s="7" t="str">
        <f t="shared" si="7"/>
        <v/>
      </c>
      <c r="J53" s="7">
        <f t="shared" si="8"/>
        <v>1</v>
      </c>
      <c r="K53" s="7" t="str">
        <f t="shared" si="9"/>
        <v/>
      </c>
      <c r="L53" s="7" t="str">
        <f t="shared" si="6"/>
        <v/>
      </c>
      <c r="M53" s="7">
        <f t="shared" si="10"/>
        <v>1</v>
      </c>
      <c r="N53" s="7" t="str">
        <f t="shared" si="11"/>
        <v>غير مستحق</v>
      </c>
      <c r="O53" s="7" t="str">
        <f t="shared" si="12"/>
        <v/>
      </c>
    </row>
    <row r="54" spans="1:15" x14ac:dyDescent="0.2">
      <c r="A54" s="7" t="s">
        <v>64</v>
      </c>
      <c r="B54" s="7" t="s">
        <v>4</v>
      </c>
      <c r="C54" s="7">
        <v>4</v>
      </c>
      <c r="D54" s="7">
        <v>0</v>
      </c>
      <c r="E54" s="7">
        <v>0</v>
      </c>
      <c r="F54" s="7">
        <v>4</v>
      </c>
      <c r="G54" s="7" t="s">
        <v>5</v>
      </c>
      <c r="H54" s="7" t="s">
        <v>6</v>
      </c>
      <c r="I54" s="7">
        <f t="shared" si="7"/>
        <v>1</v>
      </c>
      <c r="J54" s="7" t="str">
        <f t="shared" si="8"/>
        <v/>
      </c>
      <c r="K54" s="7" t="str">
        <f t="shared" si="9"/>
        <v/>
      </c>
      <c r="L54" s="7" t="str">
        <f t="shared" si="6"/>
        <v/>
      </c>
      <c r="M54" s="7">
        <f t="shared" si="10"/>
        <v>1</v>
      </c>
      <c r="N54" s="7" t="str">
        <f t="shared" si="11"/>
        <v>غير مستحق</v>
      </c>
      <c r="O54" s="7" t="str">
        <f t="shared" si="12"/>
        <v/>
      </c>
    </row>
    <row r="55" spans="1:15" x14ac:dyDescent="0.2">
      <c r="A55" s="7" t="s">
        <v>68</v>
      </c>
      <c r="B55" s="7" t="s">
        <v>4</v>
      </c>
      <c r="C55" s="7">
        <v>7</v>
      </c>
      <c r="D55" s="7">
        <v>0</v>
      </c>
      <c r="E55" s="7">
        <v>2</v>
      </c>
      <c r="F55" s="7">
        <v>5</v>
      </c>
      <c r="G55" s="7" t="s">
        <v>5</v>
      </c>
      <c r="H55" s="7" t="s">
        <v>6</v>
      </c>
      <c r="I55" s="7">
        <f t="shared" si="7"/>
        <v>1</v>
      </c>
      <c r="J55" s="7" t="str">
        <f t="shared" si="8"/>
        <v/>
      </c>
      <c r="K55" s="7" t="str">
        <f t="shared" si="9"/>
        <v/>
      </c>
      <c r="L55" s="7" t="str">
        <f t="shared" si="6"/>
        <v/>
      </c>
      <c r="M55" s="7">
        <f t="shared" si="10"/>
        <v>1</v>
      </c>
      <c r="N55" s="7" t="str">
        <f t="shared" si="11"/>
        <v>غير مستحق</v>
      </c>
      <c r="O55" s="7" t="str">
        <f t="shared" si="12"/>
        <v/>
      </c>
    </row>
    <row r="56" spans="1:15" x14ac:dyDescent="0.2">
      <c r="A56" s="7" t="s">
        <v>69</v>
      </c>
      <c r="B56" s="7" t="s">
        <v>4</v>
      </c>
      <c r="C56" s="7">
        <v>2</v>
      </c>
      <c r="D56" s="7">
        <v>0</v>
      </c>
      <c r="E56" s="7">
        <v>2</v>
      </c>
      <c r="F56" s="7">
        <v>0</v>
      </c>
      <c r="G56" s="7" t="s">
        <v>6</v>
      </c>
      <c r="H56" s="7" t="s">
        <v>6</v>
      </c>
      <c r="I56" s="7" t="str">
        <f t="shared" si="7"/>
        <v/>
      </c>
      <c r="J56" s="7" t="str">
        <f t="shared" si="8"/>
        <v/>
      </c>
      <c r="K56" s="7">
        <f t="shared" si="9"/>
        <v>1</v>
      </c>
      <c r="L56" s="7" t="str">
        <f t="shared" si="6"/>
        <v/>
      </c>
      <c r="M56" s="7">
        <f t="shared" si="10"/>
        <v>1</v>
      </c>
      <c r="N56" s="7" t="str">
        <f t="shared" si="11"/>
        <v>غير مستحق</v>
      </c>
      <c r="O56" s="7" t="str">
        <f t="shared" si="12"/>
        <v/>
      </c>
    </row>
    <row r="57" spans="1:15" x14ac:dyDescent="0.2">
      <c r="A57" s="7" t="s">
        <v>49</v>
      </c>
      <c r="B57" s="7" t="s">
        <v>7</v>
      </c>
      <c r="C57" s="7">
        <v>2</v>
      </c>
      <c r="D57" s="7">
        <v>1</v>
      </c>
      <c r="E57" s="7">
        <v>1</v>
      </c>
      <c r="F57" s="7">
        <v>0</v>
      </c>
      <c r="G57" s="7" t="s">
        <v>5</v>
      </c>
      <c r="H57" s="7" t="s">
        <v>6</v>
      </c>
      <c r="I57" s="7" t="str">
        <f t="shared" si="7"/>
        <v/>
      </c>
      <c r="J57" s="7" t="str">
        <f t="shared" si="8"/>
        <v/>
      </c>
      <c r="K57" s="7" t="str">
        <f t="shared" si="9"/>
        <v/>
      </c>
      <c r="L57" s="7" t="str">
        <f t="shared" si="6"/>
        <v/>
      </c>
      <c r="M57" s="7">
        <f t="shared" si="10"/>
        <v>0</v>
      </c>
      <c r="N57" s="7" t="str">
        <f t="shared" si="11"/>
        <v>غير مستحق</v>
      </c>
      <c r="O57" s="7" t="str">
        <f t="shared" si="12"/>
        <v/>
      </c>
    </row>
    <row r="58" spans="1:15" x14ac:dyDescent="0.2">
      <c r="A58" s="7" t="s">
        <v>62</v>
      </c>
      <c r="B58" s="7" t="s">
        <v>4</v>
      </c>
      <c r="C58" s="7">
        <v>2</v>
      </c>
      <c r="D58" s="7">
        <v>0</v>
      </c>
      <c r="E58" s="7">
        <v>1</v>
      </c>
      <c r="F58" s="7">
        <v>1</v>
      </c>
      <c r="G58" s="7" t="s">
        <v>5</v>
      </c>
      <c r="H58" s="7" t="s">
        <v>6</v>
      </c>
      <c r="I58" s="7" t="str">
        <f t="shared" si="7"/>
        <v/>
      </c>
      <c r="J58" s="7" t="str">
        <f t="shared" si="8"/>
        <v/>
      </c>
      <c r="K58" s="7" t="str">
        <f t="shared" si="9"/>
        <v/>
      </c>
      <c r="L58" s="7" t="str">
        <f t="shared" si="6"/>
        <v/>
      </c>
      <c r="M58" s="7">
        <f t="shared" si="10"/>
        <v>0</v>
      </c>
      <c r="N58" s="7" t="str">
        <f t="shared" si="11"/>
        <v>غير مستحق</v>
      </c>
      <c r="O58" s="7" t="str">
        <f t="shared" si="12"/>
        <v/>
      </c>
    </row>
    <row r="59" spans="1:15" x14ac:dyDescent="0.2">
      <c r="A59" s="7" t="s">
        <v>65</v>
      </c>
      <c r="B59" s="7" t="s">
        <v>4</v>
      </c>
      <c r="C59" s="7">
        <v>2</v>
      </c>
      <c r="D59" s="7">
        <v>0</v>
      </c>
      <c r="E59" s="7">
        <v>0</v>
      </c>
      <c r="F59" s="7">
        <v>2</v>
      </c>
      <c r="G59" s="7" t="s">
        <v>5</v>
      </c>
      <c r="H59" s="7" t="s">
        <v>6</v>
      </c>
      <c r="I59" s="7" t="str">
        <f t="shared" si="7"/>
        <v/>
      </c>
      <c r="J59" s="7" t="str">
        <f t="shared" si="8"/>
        <v/>
      </c>
      <c r="K59" s="7" t="str">
        <f t="shared" si="9"/>
        <v/>
      </c>
      <c r="L59" s="7" t="str">
        <f t="shared" si="6"/>
        <v/>
      </c>
      <c r="M59" s="7">
        <f t="shared" si="10"/>
        <v>0</v>
      </c>
      <c r="N59" s="7" t="str">
        <f t="shared" si="11"/>
        <v>غير مستحق</v>
      </c>
      <c r="O59" s="7" t="str">
        <f t="shared" si="12"/>
        <v/>
      </c>
    </row>
  </sheetData>
  <conditionalFormatting sqref="B2:B59">
    <cfRule type="cellIs" dxfId="2" priority="4" operator="equal">
      <formula>"الأم"</formula>
    </cfRule>
  </conditionalFormatting>
  <conditionalFormatting sqref="A2:A59">
    <cfRule type="containsText" dxfId="1" priority="3" operator="containsText" text="M">
      <formula>NOT(ISERROR(SEARCH("M",A2)))</formula>
    </cfRule>
  </conditionalFormatting>
  <conditionalFormatting sqref="C2:C59">
    <cfRule type="top10" dxfId="0" priority="2" rank="10"/>
  </conditionalFormatting>
  <conditionalFormatting sqref="M2:M5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{934F321C-94C5-4BEA-9995-977B2A252038}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4F321C-94C5-4BEA-9995-977B2A2520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M2:M59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وضع العوائل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</dc:creator>
  <cp:lastModifiedBy>Al-Munthir</cp:lastModifiedBy>
  <dcterms:created xsi:type="dcterms:W3CDTF">2017-10-05T08:05:50Z</dcterms:created>
  <dcterms:modified xsi:type="dcterms:W3CDTF">2017-11-26T18:31:25Z</dcterms:modified>
</cp:coreProperties>
</file>